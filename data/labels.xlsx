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o9yshvJS68m59wYSyIoqJAwMpIUFgY7fzWfRQ0x7u9A="/>
    </ext>
  </extLst>
</workbook>
</file>

<file path=xl/sharedStrings.xml><?xml version="1.0" encoding="utf-8"?>
<sst xmlns="http://schemas.openxmlformats.org/spreadsheetml/2006/main" count="236" uniqueCount="120">
  <si>
    <t>NomeArquivo</t>
  </si>
  <si>
    <t>AmostraMae</t>
  </si>
  <si>
    <t>RazaoArea</t>
  </si>
  <si>
    <t>ConcMedia</t>
  </si>
  <si>
    <t>PG_1.mzML</t>
  </si>
  <si>
    <t>PG_2.mzML</t>
  </si>
  <si>
    <t>PG_3.mzML</t>
  </si>
  <si>
    <t>PG_4.mzML</t>
  </si>
  <si>
    <t>PG_5.mzML</t>
  </si>
  <si>
    <t>PG_6.mzML</t>
  </si>
  <si>
    <t>PG_7.mzML</t>
  </si>
  <si>
    <t>PG_8.mzML</t>
  </si>
  <si>
    <t>PG_9.mzML</t>
  </si>
  <si>
    <t>PG_10.mzML</t>
  </si>
  <si>
    <t>PG_11.mzML</t>
  </si>
  <si>
    <t>PG_12.mzML</t>
  </si>
  <si>
    <t>PG_13.mzML</t>
  </si>
  <si>
    <t>PG_14.mzML</t>
  </si>
  <si>
    <t>PG_15.mzML</t>
  </si>
  <si>
    <t>PG_16.mzML</t>
  </si>
  <si>
    <t>PG_17.mzML</t>
  </si>
  <si>
    <t>PG_18.mzML</t>
  </si>
  <si>
    <t>PG_18_2_1.mzML</t>
  </si>
  <si>
    <t>PG_19.mzML</t>
  </si>
  <si>
    <t>PG_20.mzML</t>
  </si>
  <si>
    <t>PG_21.mzML</t>
  </si>
  <si>
    <t>PG_22.mzML</t>
  </si>
  <si>
    <t>PG_23.mzML</t>
  </si>
  <si>
    <t>PG_24.mzML</t>
  </si>
  <si>
    <t>PG_25.mzML</t>
  </si>
  <si>
    <t>PG_26.mzML</t>
  </si>
  <si>
    <t>PG_27.mzML</t>
  </si>
  <si>
    <t>PG_28.mzML</t>
  </si>
  <si>
    <t>PG_29.mzML</t>
  </si>
  <si>
    <t>PG_30.mzML</t>
  </si>
  <si>
    <t>PG_31.mzML</t>
  </si>
  <si>
    <t>PG_32.mzML</t>
  </si>
  <si>
    <t>PG_33.mzML</t>
  </si>
  <si>
    <t>PG_34.mzML</t>
  </si>
  <si>
    <t>PG_35.mzML</t>
  </si>
  <si>
    <t>PG_36.mzML</t>
  </si>
  <si>
    <t>PG_37.mzML</t>
  </si>
  <si>
    <t>PG_1_1.mzML</t>
  </si>
  <si>
    <t>PG_2_1.mzML</t>
  </si>
  <si>
    <t>PG_3_1.mzML</t>
  </si>
  <si>
    <t>PG_4.1.mzML</t>
  </si>
  <si>
    <t>PG_5.1.mzML</t>
  </si>
  <si>
    <t>PG_6_1.mzML</t>
  </si>
  <si>
    <t>PG_7_1.mzML</t>
  </si>
  <si>
    <t>PG_8_1.mzML</t>
  </si>
  <si>
    <t>PG_9_1.mzML</t>
  </si>
  <si>
    <t>PG_10_1.mzML</t>
  </si>
  <si>
    <t>PG_11_1.mzML</t>
  </si>
  <si>
    <t>PG_12_1.mzML</t>
  </si>
  <si>
    <t>PG_13_1.mzML</t>
  </si>
  <si>
    <t>PG_14_1.mzML</t>
  </si>
  <si>
    <t>PG_15_1.mzML</t>
  </si>
  <si>
    <t>PG_16_1.mzML</t>
  </si>
  <si>
    <t>PG_17_1.mzML</t>
  </si>
  <si>
    <t>PG_18_1.mzML</t>
  </si>
  <si>
    <t>PG_18_2_2.mzML</t>
  </si>
  <si>
    <t>PG_19_1.mzML</t>
  </si>
  <si>
    <t>PG_20_1.mzML</t>
  </si>
  <si>
    <t>PG_21_1.mzML</t>
  </si>
  <si>
    <t>PG_22_1.mzML</t>
  </si>
  <si>
    <t>PG_23_1.mzML</t>
  </si>
  <si>
    <t>PG_24_1.mzML</t>
  </si>
  <si>
    <t>PG_25_1.mzML</t>
  </si>
  <si>
    <t>PG_26_1.mzML</t>
  </si>
  <si>
    <t>PG_27_1.mzML</t>
  </si>
  <si>
    <t>PG_28_1.mzML</t>
  </si>
  <si>
    <t>PG_29_1.mzML</t>
  </si>
  <si>
    <t>PG_30_1.mzML</t>
  </si>
  <si>
    <t>PG_31_1.mzML</t>
  </si>
  <si>
    <t>PG_32_1.mzML</t>
  </si>
  <si>
    <t>PG_33_1.mzML</t>
  </si>
  <si>
    <t>PG_34_1.mzML</t>
  </si>
  <si>
    <t>PG_35_1.mzML</t>
  </si>
  <si>
    <t>PG_36_1.mzML</t>
  </si>
  <si>
    <t>PG_37_1.mzML</t>
  </si>
  <si>
    <t>CT_1.mzML</t>
  </si>
  <si>
    <t>CT_2.mzML</t>
  </si>
  <si>
    <t>CT_3.mzML</t>
  </si>
  <si>
    <t>CT_4.mzML</t>
  </si>
  <si>
    <t>CT_5.mzML</t>
  </si>
  <si>
    <t>CT_6.mzML</t>
  </si>
  <si>
    <t>CT_7.mzML</t>
  </si>
  <si>
    <t>CT_8.mzML</t>
  </si>
  <si>
    <t>CT_10.mzML</t>
  </si>
  <si>
    <t>CT_11.mzML</t>
  </si>
  <si>
    <t>CT_12.mzML</t>
  </si>
  <si>
    <t>CT_13.mzML</t>
  </si>
  <si>
    <t>CT_14.mzML</t>
  </si>
  <si>
    <t>CT_15.mzML</t>
  </si>
  <si>
    <t>CT_16.mzML</t>
  </si>
  <si>
    <t>CT_17.mzML</t>
  </si>
  <si>
    <t>CT_18.mzML</t>
  </si>
  <si>
    <t>CT_19.mzML</t>
  </si>
  <si>
    <t>CT_20.mzML</t>
  </si>
  <si>
    <t>CT_21.mzML</t>
  </si>
  <si>
    <t>CT_1_1.mzML</t>
  </si>
  <si>
    <t>CT_2_1.mzML</t>
  </si>
  <si>
    <t>CT_3_1.mzML</t>
  </si>
  <si>
    <t>CT_4_1.mzML</t>
  </si>
  <si>
    <t>CT_5_1.mzML</t>
  </si>
  <si>
    <t>CT_6_1.mzML</t>
  </si>
  <si>
    <t>CT_7_1.mzML</t>
  </si>
  <si>
    <t>CT_8_1.mzML</t>
  </si>
  <si>
    <t>CT_10_1.mzML</t>
  </si>
  <si>
    <t>CT_11_1.mzML</t>
  </si>
  <si>
    <t>CT_12_1.mzML</t>
  </si>
  <si>
    <t>CT_13_1.mzML</t>
  </si>
  <si>
    <t>CT_14_1.mzML</t>
  </si>
  <si>
    <t>CT_15_1.mzML</t>
  </si>
  <si>
    <t>CT_16_1.mzML</t>
  </si>
  <si>
    <t>CT_17_1.mzML</t>
  </si>
  <si>
    <t>CT_18_1.mzML</t>
  </si>
  <si>
    <t>CT_19_1.mzML</t>
  </si>
  <si>
    <t>CT_20_1.mzML</t>
  </si>
  <si>
    <t>CT_21_1.mzML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</si>
</sst>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0" fillId="0" fontId="2" numFmtId="0" xfId="0" applyFont="1"/>
    <xf borderId="2" fillId="3" fontId="1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9.0"/>
    <col customWidth="1" min="3" max="3" width="17.88"/>
    <col customWidth="1" min="4" max="4" width="18.0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5.75" customHeight="1">
      <c r="A2" s="4" t="s">
        <v>4</v>
      </c>
      <c r="B2" s="4" t="s">
        <v>4</v>
      </c>
      <c r="C2" s="3">
        <v>7.324774500243784</v>
      </c>
      <c r="D2" s="5">
        <f t="shared" ref="D2:D117" si="1">(((C2-0.81285)/0.02376)/5)/3</f>
        <v>18.2713931</v>
      </c>
    </row>
    <row r="3" ht="15.75" customHeight="1">
      <c r="A3" s="4" t="s">
        <v>5</v>
      </c>
      <c r="B3" s="4" t="s">
        <v>5</v>
      </c>
      <c r="C3" s="3">
        <v>9.65632835052245</v>
      </c>
      <c r="D3" s="5">
        <f t="shared" si="1"/>
        <v>24.81335115</v>
      </c>
    </row>
    <row r="4" ht="15.75" customHeight="1">
      <c r="A4" s="4" t="s">
        <v>6</v>
      </c>
      <c r="B4" s="4" t="s">
        <v>6</v>
      </c>
      <c r="C4" s="3">
        <v>15.971085392461063</v>
      </c>
      <c r="D4" s="5">
        <f t="shared" si="1"/>
        <v>42.53152467</v>
      </c>
    </row>
    <row r="5" ht="15.75" customHeight="1">
      <c r="A5" s="4" t="s">
        <v>7</v>
      </c>
      <c r="B5" s="4" t="s">
        <v>7</v>
      </c>
      <c r="C5" s="3">
        <v>9.655144886016133</v>
      </c>
      <c r="D5" s="5">
        <f t="shared" si="1"/>
        <v>24.81003054</v>
      </c>
    </row>
    <row r="6" ht="15.75" customHeight="1">
      <c r="A6" s="4" t="s">
        <v>8</v>
      </c>
      <c r="B6" s="4" t="s">
        <v>8</v>
      </c>
      <c r="C6" s="3">
        <v>2.31317916515082</v>
      </c>
      <c r="D6" s="5">
        <f t="shared" si="1"/>
        <v>4.209677792</v>
      </c>
    </row>
    <row r="7" ht="15.75" customHeight="1">
      <c r="A7" s="4" t="s">
        <v>9</v>
      </c>
      <c r="B7" s="4" t="s">
        <v>9</v>
      </c>
      <c r="C7" s="3">
        <v>8.377985548939586</v>
      </c>
      <c r="D7" s="5">
        <f t="shared" si="1"/>
        <v>21.22653072</v>
      </c>
    </row>
    <row r="8" ht="15.75" customHeight="1">
      <c r="A8" s="4" t="s">
        <v>10</v>
      </c>
      <c r="B8" s="4" t="s">
        <v>10</v>
      </c>
      <c r="C8" s="3">
        <v>12.119829916875151</v>
      </c>
      <c r="D8" s="5">
        <f t="shared" si="1"/>
        <v>31.72553288</v>
      </c>
    </row>
    <row r="9" ht="15.75" customHeight="1">
      <c r="A9" s="4" t="s">
        <v>11</v>
      </c>
      <c r="B9" s="4" t="s">
        <v>11</v>
      </c>
      <c r="C9" s="3">
        <v>7.427817690099716</v>
      </c>
      <c r="D9" s="5">
        <f t="shared" si="1"/>
        <v>18.5605154</v>
      </c>
    </row>
    <row r="10" ht="15.75" customHeight="1">
      <c r="A10" s="4" t="s">
        <v>12</v>
      </c>
      <c r="B10" s="4" t="s">
        <v>12</v>
      </c>
      <c r="C10" s="3">
        <v>10.903547868179873</v>
      </c>
      <c r="D10" s="5">
        <f t="shared" si="1"/>
        <v>28.31284475</v>
      </c>
    </row>
    <row r="11" ht="15.75" customHeight="1">
      <c r="A11" s="4" t="s">
        <v>13</v>
      </c>
      <c r="B11" s="4" t="s">
        <v>13</v>
      </c>
      <c r="C11" s="3">
        <v>12.853570869160189</v>
      </c>
      <c r="D11" s="5">
        <f t="shared" si="1"/>
        <v>33.78428976</v>
      </c>
    </row>
    <row r="12" ht="15.75" customHeight="1">
      <c r="A12" s="4" t="s">
        <v>14</v>
      </c>
      <c r="B12" s="4" t="s">
        <v>14</v>
      </c>
      <c r="C12" s="3">
        <v>7.010420380273321</v>
      </c>
      <c r="D12" s="5">
        <f t="shared" si="1"/>
        <v>17.38936695</v>
      </c>
    </row>
    <row r="13" ht="15.75" customHeight="1">
      <c r="A13" s="4" t="s">
        <v>15</v>
      </c>
      <c r="B13" s="4" t="s">
        <v>15</v>
      </c>
      <c r="C13" s="3">
        <v>17.295783886024587</v>
      </c>
      <c r="D13" s="5">
        <f t="shared" si="1"/>
        <v>46.24841158</v>
      </c>
    </row>
    <row r="14" ht="15.75" customHeight="1">
      <c r="A14" s="4" t="s">
        <v>16</v>
      </c>
      <c r="B14" s="4" t="s">
        <v>16</v>
      </c>
      <c r="C14" s="3">
        <v>2.793776030973192</v>
      </c>
      <c r="D14" s="5">
        <f t="shared" si="1"/>
        <v>5.558153847</v>
      </c>
    </row>
    <row r="15" ht="15.75" customHeight="1">
      <c r="A15" s="4" t="s">
        <v>17</v>
      </c>
      <c r="B15" s="4" t="s">
        <v>17</v>
      </c>
      <c r="C15" s="3">
        <v>7.341809129108387</v>
      </c>
      <c r="D15" s="5">
        <f t="shared" si="1"/>
        <v>18.31918948</v>
      </c>
    </row>
    <row r="16" ht="15.75" customHeight="1">
      <c r="A16" s="4" t="s">
        <v>18</v>
      </c>
      <c r="B16" s="4" t="s">
        <v>18</v>
      </c>
      <c r="C16" s="3">
        <v>8.458459997854154</v>
      </c>
      <c r="D16" s="5">
        <f t="shared" si="1"/>
        <v>21.45232884</v>
      </c>
    </row>
    <row r="17" ht="15.75" customHeight="1">
      <c r="A17" s="4" t="s">
        <v>19</v>
      </c>
      <c r="B17" s="4" t="s">
        <v>19</v>
      </c>
      <c r="C17" s="3">
        <v>7.120893965731313</v>
      </c>
      <c r="D17" s="5">
        <f t="shared" si="1"/>
        <v>17.69933773</v>
      </c>
    </row>
    <row r="18" ht="15.75" customHeight="1">
      <c r="A18" s="4" t="s">
        <v>20</v>
      </c>
      <c r="B18" s="4" t="s">
        <v>20</v>
      </c>
      <c r="C18" s="3">
        <v>11.152571873983094</v>
      </c>
      <c r="D18" s="5">
        <f t="shared" si="1"/>
        <v>29.0115653</v>
      </c>
    </row>
    <row r="19" ht="15.75" customHeight="1">
      <c r="A19" s="4" t="s">
        <v>21</v>
      </c>
      <c r="B19" s="4" t="s">
        <v>21</v>
      </c>
      <c r="C19" s="3">
        <v>7.516740231123636</v>
      </c>
      <c r="D19" s="5">
        <f t="shared" si="1"/>
        <v>18.81001748</v>
      </c>
    </row>
    <row r="20" ht="15.75" customHeight="1">
      <c r="A20" s="4" t="s">
        <v>22</v>
      </c>
      <c r="B20" s="4" t="s">
        <v>22</v>
      </c>
      <c r="C20" s="3">
        <v>7.3969975259883425</v>
      </c>
      <c r="D20" s="5">
        <f t="shared" si="1"/>
        <v>18.47403907</v>
      </c>
    </row>
    <row r="21" ht="15.75" customHeight="1">
      <c r="A21" s="4" t="s">
        <v>23</v>
      </c>
      <c r="B21" s="4" t="s">
        <v>23</v>
      </c>
      <c r="C21" s="3">
        <v>10.493726435502813</v>
      </c>
      <c r="D21" s="5">
        <f t="shared" si="1"/>
        <v>27.16295296</v>
      </c>
    </row>
    <row r="22" ht="15.75" customHeight="1">
      <c r="A22" s="4" t="s">
        <v>24</v>
      </c>
      <c r="B22" s="4" t="s">
        <v>24</v>
      </c>
      <c r="C22" s="3">
        <v>6.289392177644238</v>
      </c>
      <c r="D22" s="5">
        <f t="shared" si="1"/>
        <v>15.36627996</v>
      </c>
    </row>
    <row r="23" ht="15.75" customHeight="1">
      <c r="A23" s="4" t="s">
        <v>25</v>
      </c>
      <c r="B23" s="4" t="s">
        <v>25</v>
      </c>
      <c r="C23" s="3">
        <v>7.7931841916324</v>
      </c>
      <c r="D23" s="5">
        <f t="shared" si="1"/>
        <v>19.58567394</v>
      </c>
    </row>
    <row r="24" ht="15.75" customHeight="1">
      <c r="A24" s="4" t="s">
        <v>26</v>
      </c>
      <c r="B24" s="4" t="s">
        <v>26</v>
      </c>
      <c r="C24" s="3">
        <v>9.061856141699145</v>
      </c>
      <c r="D24" s="5">
        <f t="shared" si="1"/>
        <v>23.14535954</v>
      </c>
    </row>
    <row r="25" ht="15.75" customHeight="1">
      <c r="A25" s="4" t="s">
        <v>27</v>
      </c>
      <c r="B25" s="4" t="s">
        <v>27</v>
      </c>
      <c r="C25" s="3">
        <v>5.0320647943961605</v>
      </c>
      <c r="D25" s="5">
        <f t="shared" si="1"/>
        <v>11.83842535</v>
      </c>
    </row>
    <row r="26" ht="15.75" customHeight="1">
      <c r="A26" s="4" t="s">
        <v>28</v>
      </c>
      <c r="B26" s="4" t="s">
        <v>28</v>
      </c>
      <c r="C26" s="3">
        <v>5.953661122169599</v>
      </c>
      <c r="D26" s="5">
        <f t="shared" si="1"/>
        <v>14.42427363</v>
      </c>
    </row>
    <row r="27" ht="15.75" customHeight="1">
      <c r="A27" s="4" t="s">
        <v>29</v>
      </c>
      <c r="B27" s="4" t="s">
        <v>29</v>
      </c>
      <c r="C27" s="3">
        <v>3.758845036608051</v>
      </c>
      <c r="D27" s="5">
        <f t="shared" si="1"/>
        <v>8.26597934</v>
      </c>
    </row>
    <row r="28" ht="15.75" customHeight="1">
      <c r="A28" s="4" t="s">
        <v>30</v>
      </c>
      <c r="B28" s="4" t="s">
        <v>30</v>
      </c>
      <c r="C28" s="3">
        <v>5.961657969839742</v>
      </c>
      <c r="D28" s="5">
        <f t="shared" si="1"/>
        <v>14.44671148</v>
      </c>
    </row>
    <row r="29" ht="15.75" customHeight="1">
      <c r="A29" s="4" t="s">
        <v>31</v>
      </c>
      <c r="B29" s="4" t="s">
        <v>31</v>
      </c>
      <c r="C29" s="3">
        <v>4.016851422955597</v>
      </c>
      <c r="D29" s="5">
        <f t="shared" si="1"/>
        <v>8.989902982</v>
      </c>
    </row>
    <row r="30" ht="15.75" customHeight="1">
      <c r="A30" s="4" t="s">
        <v>32</v>
      </c>
      <c r="B30" s="4" t="s">
        <v>32</v>
      </c>
      <c r="C30" s="3">
        <v>1.8527961939982995</v>
      </c>
      <c r="D30" s="5">
        <f t="shared" si="1"/>
        <v>2.917918614</v>
      </c>
    </row>
    <row r="31" ht="15.75" customHeight="1">
      <c r="A31" s="4" t="s">
        <v>33</v>
      </c>
      <c r="B31" s="4" t="s">
        <v>33</v>
      </c>
      <c r="C31" s="3">
        <v>6.731339166581135</v>
      </c>
      <c r="D31" s="5">
        <f t="shared" si="1"/>
        <v>16.60631079</v>
      </c>
    </row>
    <row r="32" ht="15.75" customHeight="1">
      <c r="A32" s="4" t="s">
        <v>34</v>
      </c>
      <c r="B32" s="4" t="s">
        <v>34</v>
      </c>
      <c r="C32" s="3">
        <v>6.673653281096963</v>
      </c>
      <c r="D32" s="5">
        <f t="shared" si="1"/>
        <v>16.44445365</v>
      </c>
    </row>
    <row r="33" ht="15.75" customHeight="1">
      <c r="A33" s="4" t="s">
        <v>35</v>
      </c>
      <c r="B33" s="4" t="s">
        <v>35</v>
      </c>
      <c r="C33" s="3">
        <v>4.893338838903096</v>
      </c>
      <c r="D33" s="5">
        <f t="shared" si="1"/>
        <v>11.44918305</v>
      </c>
    </row>
    <row r="34" ht="15.75" customHeight="1">
      <c r="A34" s="4" t="s">
        <v>36</v>
      </c>
      <c r="B34" s="4" t="s">
        <v>36</v>
      </c>
      <c r="C34" s="3">
        <v>10.89247700184835</v>
      </c>
      <c r="D34" s="5">
        <f t="shared" si="1"/>
        <v>28.28178171</v>
      </c>
    </row>
    <row r="35" ht="15.75" customHeight="1">
      <c r="A35" s="4" t="s">
        <v>37</v>
      </c>
      <c r="B35" s="4" t="s">
        <v>37</v>
      </c>
      <c r="C35" s="3">
        <v>8.487872016330444</v>
      </c>
      <c r="D35" s="5">
        <f t="shared" si="1"/>
        <v>21.53485414</v>
      </c>
    </row>
    <row r="36" ht="15.75" customHeight="1">
      <c r="A36" s="4" t="s">
        <v>38</v>
      </c>
      <c r="B36" s="4" t="s">
        <v>38</v>
      </c>
      <c r="C36" s="3">
        <v>9.250281959495906</v>
      </c>
      <c r="D36" s="5">
        <f t="shared" si="1"/>
        <v>23.67405151</v>
      </c>
    </row>
    <row r="37" ht="15.75" customHeight="1">
      <c r="A37" s="4" t="s">
        <v>39</v>
      </c>
      <c r="B37" s="4" t="s">
        <v>39</v>
      </c>
      <c r="C37" s="3">
        <v>7.909320693469518</v>
      </c>
      <c r="D37" s="5">
        <f t="shared" si="1"/>
        <v>19.91153393</v>
      </c>
    </row>
    <row r="38" ht="15.75" customHeight="1">
      <c r="A38" s="4" t="s">
        <v>40</v>
      </c>
      <c r="B38" s="4" t="s">
        <v>40</v>
      </c>
      <c r="C38" s="3">
        <v>12.38922999301405</v>
      </c>
      <c r="D38" s="5">
        <f t="shared" si="1"/>
        <v>32.48142535</v>
      </c>
    </row>
    <row r="39" ht="15.75" customHeight="1">
      <c r="A39" s="4" t="s">
        <v>41</v>
      </c>
      <c r="B39" s="4" t="s">
        <v>41</v>
      </c>
      <c r="C39" s="3">
        <v>6.312864857295396</v>
      </c>
      <c r="D39" s="5">
        <f t="shared" si="1"/>
        <v>15.43214045</v>
      </c>
    </row>
    <row r="40" ht="15.75" customHeight="1">
      <c r="A40" s="4" t="s">
        <v>42</v>
      </c>
      <c r="B40" s="4" t="s">
        <v>4</v>
      </c>
      <c r="C40" s="6">
        <f>(905776/113083)</f>
        <v>8.009833485</v>
      </c>
      <c r="D40" s="5">
        <f t="shared" si="1"/>
        <v>20.19355636</v>
      </c>
    </row>
    <row r="41" ht="15.75" customHeight="1">
      <c r="A41" s="4" t="s">
        <v>43</v>
      </c>
      <c r="B41" s="4" t="s">
        <v>5</v>
      </c>
      <c r="C41" s="6">
        <f>(1563236/147017)</f>
        <v>10.63302883</v>
      </c>
      <c r="D41" s="5">
        <f t="shared" si="1"/>
        <v>27.55381266</v>
      </c>
    </row>
    <row r="42" ht="15.75" customHeight="1">
      <c r="A42" s="4" t="s">
        <v>44</v>
      </c>
      <c r="B42" s="4" t="s">
        <v>6</v>
      </c>
      <c r="C42" s="7">
        <f>(1080333/80764)</f>
        <v>13.37641771</v>
      </c>
      <c r="D42" s="5">
        <f t="shared" si="1"/>
        <v>35.25131232</v>
      </c>
    </row>
    <row r="43" ht="15.75" customHeight="1">
      <c r="A43" s="4" t="s">
        <v>45</v>
      </c>
      <c r="B43" s="4" t="s">
        <v>7</v>
      </c>
      <c r="C43" s="7">
        <f>(1569920/137298)</f>
        <v>11.43439817</v>
      </c>
      <c r="D43" s="5">
        <f t="shared" si="1"/>
        <v>29.80232371</v>
      </c>
    </row>
    <row r="44" ht="15.75" customHeight="1">
      <c r="A44" s="4" t="s">
        <v>46</v>
      </c>
      <c r="B44" s="4" t="s">
        <v>8</v>
      </c>
      <c r="C44" s="7">
        <f>(290750/120928)</f>
        <v>2.404323234</v>
      </c>
      <c r="D44" s="5">
        <f t="shared" si="1"/>
        <v>4.465413114</v>
      </c>
    </row>
    <row r="45" ht="15.75" customHeight="1">
      <c r="A45" s="4" t="s">
        <v>47</v>
      </c>
      <c r="B45" s="4" t="s">
        <v>9</v>
      </c>
      <c r="C45" s="7">
        <f>(1567691/220605)</f>
        <v>7.106325786</v>
      </c>
      <c r="D45" s="5">
        <f t="shared" si="1"/>
        <v>17.6584618</v>
      </c>
    </row>
    <row r="46" ht="15.75" customHeight="1">
      <c r="A46" s="4" t="s">
        <v>48</v>
      </c>
      <c r="B46" s="4" t="s">
        <v>10</v>
      </c>
      <c r="C46" s="6">
        <f>(5193217/358391)</f>
        <v>14.49036667</v>
      </c>
      <c r="D46" s="5">
        <f t="shared" si="1"/>
        <v>38.37687056</v>
      </c>
    </row>
    <row r="47" ht="15.75" customHeight="1">
      <c r="A47" s="4" t="s">
        <v>49</v>
      </c>
      <c r="B47" s="4" t="s">
        <v>11</v>
      </c>
      <c r="C47" s="6">
        <f>(980270/123030)</f>
        <v>7.967731448</v>
      </c>
      <c r="D47" s="5">
        <f t="shared" si="1"/>
        <v>20.07542494</v>
      </c>
    </row>
    <row r="48" ht="15.75" customHeight="1">
      <c r="A48" s="4" t="s">
        <v>50</v>
      </c>
      <c r="B48" s="4" t="s">
        <v>12</v>
      </c>
      <c r="C48" s="7">
        <f>(1451981/108306)</f>
        <v>13.40628405</v>
      </c>
      <c r="D48" s="5">
        <f t="shared" si="1"/>
        <v>35.33511237</v>
      </c>
    </row>
    <row r="49" ht="15.75" customHeight="1">
      <c r="A49" s="4" t="s">
        <v>51</v>
      </c>
      <c r="B49" s="4" t="s">
        <v>13</v>
      </c>
      <c r="C49" s="7">
        <f>(1817047/116958)</f>
        <v>15.53589323</v>
      </c>
      <c r="D49" s="5">
        <f t="shared" si="1"/>
        <v>41.31044676</v>
      </c>
    </row>
    <row r="50" ht="15.75" customHeight="1">
      <c r="A50" s="4" t="s">
        <v>52</v>
      </c>
      <c r="B50" s="4" t="s">
        <v>14</v>
      </c>
      <c r="C50" s="6">
        <f>(932325/122191)</f>
        <v>7.630062771</v>
      </c>
      <c r="D50" s="5">
        <f t="shared" si="1"/>
        <v>19.12798196</v>
      </c>
    </row>
    <row r="51" ht="15.75" customHeight="1">
      <c r="A51" s="4" t="s">
        <v>53</v>
      </c>
      <c r="B51" s="4" t="s">
        <v>15</v>
      </c>
      <c r="C51" s="7">
        <f>(1711986/122505)</f>
        <v>13.97482552</v>
      </c>
      <c r="D51" s="5">
        <f t="shared" si="1"/>
        <v>36.93034657</v>
      </c>
    </row>
    <row r="52" ht="15.75" customHeight="1">
      <c r="A52" s="4" t="s">
        <v>54</v>
      </c>
      <c r="B52" s="4" t="s">
        <v>16</v>
      </c>
      <c r="C52" s="7">
        <f>(202755/58399)</f>
        <v>3.471891642</v>
      </c>
      <c r="D52" s="5">
        <f t="shared" si="1"/>
        <v>7.460835135</v>
      </c>
    </row>
    <row r="53" ht="15.75" customHeight="1">
      <c r="A53" s="4" t="s">
        <v>55</v>
      </c>
      <c r="B53" s="4" t="s">
        <v>17</v>
      </c>
      <c r="C53" s="6">
        <f>(889933/131337)</f>
        <v>6.775950418</v>
      </c>
      <c r="D53" s="5">
        <f t="shared" si="1"/>
        <v>16.73148265</v>
      </c>
    </row>
    <row r="54" ht="15.75" customHeight="1">
      <c r="A54" s="4" t="s">
        <v>56</v>
      </c>
      <c r="B54" s="4" t="s">
        <v>18</v>
      </c>
      <c r="C54" s="6">
        <f>(829082/119750)</f>
        <v>6.923440501</v>
      </c>
      <c r="D54" s="5">
        <f t="shared" si="1"/>
        <v>17.14531566</v>
      </c>
    </row>
    <row r="55" ht="15.75" customHeight="1">
      <c r="A55" s="4" t="s">
        <v>57</v>
      </c>
      <c r="B55" s="4" t="s">
        <v>19</v>
      </c>
      <c r="C55" s="6">
        <f>(935304/114243)</f>
        <v>8.18696988</v>
      </c>
      <c r="D55" s="5">
        <f t="shared" si="1"/>
        <v>20.69057205</v>
      </c>
    </row>
    <row r="56" ht="15.75" customHeight="1">
      <c r="A56" s="4" t="s">
        <v>58</v>
      </c>
      <c r="B56" s="4" t="s">
        <v>20</v>
      </c>
      <c r="C56" s="7">
        <f>(1283135/98770)</f>
        <v>12.99114103</v>
      </c>
      <c r="D56" s="5">
        <f t="shared" si="1"/>
        <v>34.1702891</v>
      </c>
    </row>
    <row r="57" ht="15.75" customHeight="1">
      <c r="A57" s="4" t="s">
        <v>59</v>
      </c>
      <c r="B57" s="4" t="s">
        <v>21</v>
      </c>
      <c r="C57" s="7">
        <f>(1036365/129914)</f>
        <v>7.977315763</v>
      </c>
      <c r="D57" s="5">
        <f t="shared" si="1"/>
        <v>20.10231695</v>
      </c>
    </row>
    <row r="58" ht="15.75" customHeight="1">
      <c r="A58" s="4" t="s">
        <v>60</v>
      </c>
      <c r="B58" s="4" t="s">
        <v>22</v>
      </c>
      <c r="C58" s="6">
        <f>(1522892/171633)</f>
        <v>8.872955667</v>
      </c>
      <c r="D58" s="5">
        <f t="shared" si="1"/>
        <v>22.61533577</v>
      </c>
    </row>
    <row r="59" ht="15.75" customHeight="1">
      <c r="A59" s="4" t="s">
        <v>61</v>
      </c>
      <c r="B59" s="4" t="s">
        <v>23</v>
      </c>
      <c r="C59" s="7">
        <f>(1538403/162312)</f>
        <v>9.478060772</v>
      </c>
      <c r="D59" s="5">
        <f t="shared" si="1"/>
        <v>24.31316154</v>
      </c>
    </row>
    <row r="60" ht="15.75" customHeight="1">
      <c r="A60" s="4" t="s">
        <v>62</v>
      </c>
      <c r="B60" s="4" t="s">
        <v>24</v>
      </c>
      <c r="C60" s="7">
        <f>(580760/99722)</f>
        <v>5.823790137</v>
      </c>
      <c r="D60" s="5">
        <f t="shared" si="1"/>
        <v>14.05987693</v>
      </c>
    </row>
    <row r="61" ht="15.75" customHeight="1">
      <c r="A61" s="4" t="s">
        <v>63</v>
      </c>
      <c r="B61" s="4" t="s">
        <v>25</v>
      </c>
      <c r="C61" s="7">
        <f>(1039480/151046)</f>
        <v>6.881877044</v>
      </c>
      <c r="D61" s="5">
        <f t="shared" si="1"/>
        <v>17.02869541</v>
      </c>
    </row>
    <row r="62" ht="15.75" customHeight="1">
      <c r="A62" s="4" t="s">
        <v>64</v>
      </c>
      <c r="B62" s="4" t="s">
        <v>26</v>
      </c>
      <c r="C62" s="7">
        <f>(770576/101848)</f>
        <v>7.565941403</v>
      </c>
      <c r="D62" s="5">
        <f t="shared" si="1"/>
        <v>18.94806791</v>
      </c>
    </row>
    <row r="63" ht="15.75" customHeight="1">
      <c r="A63" s="4" t="s">
        <v>65</v>
      </c>
      <c r="B63" s="4" t="s">
        <v>27</v>
      </c>
      <c r="C63" s="7">
        <f>(631331/131886)</f>
        <v>4.786944786</v>
      </c>
      <c r="D63" s="5">
        <f t="shared" si="1"/>
        <v>11.15065877</v>
      </c>
    </row>
    <row r="64" ht="15.75" customHeight="1">
      <c r="A64" s="4" t="s">
        <v>66</v>
      </c>
      <c r="B64" s="4" t="s">
        <v>28</v>
      </c>
      <c r="C64" s="7">
        <f>(719225/146612)</f>
        <v>4.905635282</v>
      </c>
      <c r="D64" s="5">
        <f t="shared" si="1"/>
        <v>11.48368485</v>
      </c>
    </row>
    <row r="65" ht="15.75" customHeight="1">
      <c r="A65" s="4" t="s">
        <v>67</v>
      </c>
      <c r="B65" s="4" t="s">
        <v>29</v>
      </c>
      <c r="C65" s="7">
        <f>(548534/147152)</f>
        <v>3.727669349</v>
      </c>
      <c r="D65" s="5">
        <f t="shared" si="1"/>
        <v>8.178505468</v>
      </c>
    </row>
    <row r="66" ht="15.75" customHeight="1">
      <c r="A66" s="4" t="s">
        <v>68</v>
      </c>
      <c r="B66" s="4" t="s">
        <v>30</v>
      </c>
      <c r="C66" s="7">
        <f>(655517/119087)</f>
        <v>5.504521904</v>
      </c>
      <c r="D66" s="5">
        <f t="shared" si="1"/>
        <v>13.16406258</v>
      </c>
    </row>
    <row r="67" ht="15.75" customHeight="1">
      <c r="A67" s="4" t="s">
        <v>69</v>
      </c>
      <c r="B67" s="4" t="s">
        <v>31</v>
      </c>
      <c r="C67" s="7">
        <f>(596193/130600)</f>
        <v>4.565030628</v>
      </c>
      <c r="D67" s="5">
        <f t="shared" si="1"/>
        <v>10.52800401</v>
      </c>
    </row>
    <row r="68" ht="15.75" customHeight="1">
      <c r="A68" s="4" t="s">
        <v>70</v>
      </c>
      <c r="B68" s="4" t="s">
        <v>32</v>
      </c>
      <c r="C68" s="7">
        <f>(387897/172964)</f>
        <v>2.242645869</v>
      </c>
      <c r="D68" s="5">
        <f t="shared" si="1"/>
        <v>4.011772919</v>
      </c>
    </row>
    <row r="69" ht="15.75" customHeight="1">
      <c r="A69" s="4" t="s">
        <v>71</v>
      </c>
      <c r="B69" s="4" t="s">
        <v>33</v>
      </c>
      <c r="C69" s="7">
        <f>(987330/166123)</f>
        <v>5.943367264</v>
      </c>
      <c r="D69" s="5">
        <f t="shared" si="1"/>
        <v>14.39539075</v>
      </c>
    </row>
    <row r="70" ht="15.75" customHeight="1">
      <c r="A70" s="4" t="s">
        <v>72</v>
      </c>
      <c r="B70" s="4" t="s">
        <v>34</v>
      </c>
      <c r="C70" s="7">
        <f>(714289/121744)</f>
        <v>5.867139243</v>
      </c>
      <c r="D70" s="5">
        <f t="shared" si="1"/>
        <v>14.18150742</v>
      </c>
    </row>
    <row r="71" ht="15.75" customHeight="1">
      <c r="A71" s="4" t="s">
        <v>73</v>
      </c>
      <c r="B71" s="4" t="s">
        <v>35</v>
      </c>
      <c r="C71" s="7">
        <f>(1134392/189977)</f>
        <v>5.971207041</v>
      </c>
      <c r="D71" s="5">
        <f t="shared" si="1"/>
        <v>14.4735046</v>
      </c>
    </row>
    <row r="72" ht="15.75" customHeight="1">
      <c r="A72" s="4" t="s">
        <v>74</v>
      </c>
      <c r="B72" s="4" t="s">
        <v>36</v>
      </c>
      <c r="C72" s="7">
        <f>(1419387/151235)</f>
        <v>9.385307634</v>
      </c>
      <c r="D72" s="5">
        <f t="shared" si="1"/>
        <v>24.05291143</v>
      </c>
    </row>
    <row r="73" ht="15.75" customHeight="1">
      <c r="A73" s="4" t="s">
        <v>75</v>
      </c>
      <c r="B73" s="4" t="s">
        <v>37</v>
      </c>
      <c r="C73" s="7">
        <f>(939578/125030)</f>
        <v>7.514820443</v>
      </c>
      <c r="D73" s="5">
        <f t="shared" si="1"/>
        <v>18.80463087</v>
      </c>
    </row>
    <row r="74" ht="15.75" customHeight="1">
      <c r="A74" s="4" t="s">
        <v>76</v>
      </c>
      <c r="B74" s="4" t="s">
        <v>38</v>
      </c>
      <c r="C74" s="7">
        <f>(1105866/134609)</f>
        <v>8.215394216</v>
      </c>
      <c r="D74" s="5">
        <f t="shared" si="1"/>
        <v>20.77032608</v>
      </c>
    </row>
    <row r="75" ht="15.75" customHeight="1">
      <c r="A75" s="4" t="s">
        <v>77</v>
      </c>
      <c r="B75" s="4" t="s">
        <v>39</v>
      </c>
      <c r="C75" s="7">
        <f>(1230013/147551)</f>
        <v>8.336188843</v>
      </c>
      <c r="D75" s="5">
        <f t="shared" si="1"/>
        <v>21.10925601</v>
      </c>
    </row>
    <row r="76" ht="15.75" customHeight="1">
      <c r="A76" s="4" t="s">
        <v>78</v>
      </c>
      <c r="B76" s="4" t="s">
        <v>40</v>
      </c>
      <c r="C76" s="7">
        <f>(1074242/105152)</f>
        <v>10.21608719</v>
      </c>
      <c r="D76" s="5">
        <f t="shared" si="1"/>
        <v>26.38394273</v>
      </c>
    </row>
    <row r="77" ht="15.75" customHeight="1">
      <c r="A77" s="4" t="s">
        <v>79</v>
      </c>
      <c r="B77" s="4" t="s">
        <v>41</v>
      </c>
      <c r="C77" s="7">
        <f>(831821/146569)</f>
        <v>5.675286043</v>
      </c>
      <c r="D77" s="5">
        <f t="shared" si="1"/>
        <v>13.64319877</v>
      </c>
    </row>
    <row r="78" ht="15.75" customHeight="1">
      <c r="A78" s="4" t="s">
        <v>80</v>
      </c>
      <c r="B78" s="4" t="s">
        <v>80</v>
      </c>
      <c r="C78" s="7">
        <f>(550217/238923)</f>
        <v>2.30290512</v>
      </c>
      <c r="D78" s="5">
        <f t="shared" si="1"/>
        <v>4.180850505</v>
      </c>
    </row>
    <row r="79" ht="15.75" customHeight="1">
      <c r="A79" s="4" t="s">
        <v>81</v>
      </c>
      <c r="B79" s="4" t="s">
        <v>81</v>
      </c>
      <c r="C79" s="7">
        <f>(646981/117285)</f>
        <v>5.516314959</v>
      </c>
      <c r="D79" s="5">
        <f t="shared" si="1"/>
        <v>13.19715196</v>
      </c>
    </row>
    <row r="80" ht="15.75" customHeight="1">
      <c r="A80" s="4" t="s">
        <v>82</v>
      </c>
      <c r="B80" s="4" t="s">
        <v>82</v>
      </c>
      <c r="C80" s="7">
        <f>(777819/179251)</f>
        <v>4.339272863</v>
      </c>
      <c r="D80" s="5">
        <f t="shared" si="1"/>
        <v>9.894564712</v>
      </c>
    </row>
    <row r="81" ht="15.75" customHeight="1">
      <c r="A81" s="4" t="s">
        <v>83</v>
      </c>
      <c r="B81" s="4" t="s">
        <v>83</v>
      </c>
      <c r="C81" s="7">
        <f>(570759/174101)</f>
        <v>3.278321204</v>
      </c>
      <c r="D81" s="5">
        <f t="shared" si="1"/>
        <v>6.917708205</v>
      </c>
    </row>
    <row r="82" ht="15.75" customHeight="1">
      <c r="A82" s="4" t="s">
        <v>84</v>
      </c>
      <c r="B82" s="4" t="s">
        <v>84</v>
      </c>
      <c r="C82" s="7">
        <f>(232266/161046)</f>
        <v>1.442233896</v>
      </c>
      <c r="D82" s="5">
        <f t="shared" si="1"/>
        <v>1.765948081</v>
      </c>
    </row>
    <row r="83" ht="15.75" customHeight="1">
      <c r="A83" s="4" t="s">
        <v>85</v>
      </c>
      <c r="B83" s="4" t="s">
        <v>85</v>
      </c>
      <c r="C83" s="7">
        <f>(272182/139004)</f>
        <v>1.958087537</v>
      </c>
      <c r="D83" s="5">
        <f t="shared" si="1"/>
        <v>3.213348869</v>
      </c>
    </row>
    <row r="84" ht="15.75" customHeight="1">
      <c r="A84" s="4" t="s">
        <v>86</v>
      </c>
      <c r="B84" s="4" t="s">
        <v>86</v>
      </c>
      <c r="C84" s="6">
        <f>(670996/224122)</f>
        <v>2.993887258</v>
      </c>
      <c r="D84" s="5">
        <f t="shared" si="1"/>
        <v>6.119633159</v>
      </c>
    </row>
    <row r="85" ht="15.75" customHeight="1">
      <c r="A85" s="4" t="s">
        <v>87</v>
      </c>
      <c r="B85" s="4" t="s">
        <v>87</v>
      </c>
      <c r="C85" s="6">
        <f>(521129/210375)</f>
        <v>2.477143197</v>
      </c>
      <c r="D85" s="5">
        <f t="shared" si="1"/>
        <v>4.669733997</v>
      </c>
    </row>
    <row r="86" ht="15.75" customHeight="1">
      <c r="A86" s="4" t="s">
        <v>88</v>
      </c>
      <c r="B86" s="4" t="s">
        <v>88</v>
      </c>
      <c r="C86" s="7">
        <f>(995109/380467)</f>
        <v>2.615493591</v>
      </c>
      <c r="D86" s="5">
        <f t="shared" si="1"/>
        <v>5.057922533</v>
      </c>
    </row>
    <row r="87" ht="15.75" customHeight="1">
      <c r="A87" s="4" t="s">
        <v>89</v>
      </c>
      <c r="B87" s="4" t="s">
        <v>89</v>
      </c>
      <c r="C87" s="7">
        <f>(1032794/183872)</f>
        <v>5.616918291</v>
      </c>
      <c r="D87" s="5">
        <f t="shared" si="1"/>
        <v>13.47942843</v>
      </c>
    </row>
    <row r="88" ht="15.75" customHeight="1">
      <c r="A88" s="4" t="s">
        <v>90</v>
      </c>
      <c r="B88" s="4" t="s">
        <v>90</v>
      </c>
      <c r="C88" s="7">
        <f>(862369/208638)</f>
        <v>4.133326623</v>
      </c>
      <c r="D88" s="5">
        <f t="shared" si="1"/>
        <v>9.316713308</v>
      </c>
    </row>
    <row r="89" ht="15.75" customHeight="1">
      <c r="A89" s="4" t="s">
        <v>91</v>
      </c>
      <c r="B89" s="4" t="s">
        <v>91</v>
      </c>
      <c r="C89" s="6">
        <f>(539906/209577)</f>
        <v>2.576170095</v>
      </c>
      <c r="D89" s="5">
        <f t="shared" si="1"/>
        <v>4.947587247</v>
      </c>
    </row>
    <row r="90" ht="15.75" customHeight="1">
      <c r="A90" s="4" t="s">
        <v>92</v>
      </c>
      <c r="B90" s="4" t="s">
        <v>92</v>
      </c>
      <c r="C90" s="7">
        <f>(513370/195742)</f>
        <v>2.622687006</v>
      </c>
      <c r="D90" s="5">
        <f t="shared" si="1"/>
        <v>5.078106078</v>
      </c>
    </row>
    <row r="91" ht="15.75" customHeight="1">
      <c r="A91" s="4" t="s">
        <v>93</v>
      </c>
      <c r="B91" s="4" t="s">
        <v>93</v>
      </c>
      <c r="C91" s="7">
        <f>(900408/154066)</f>
        <v>5.844300495</v>
      </c>
      <c r="D91" s="5">
        <f t="shared" si="1"/>
        <v>14.11742563</v>
      </c>
    </row>
    <row r="92" ht="15.75" customHeight="1">
      <c r="A92" s="4" t="s">
        <v>94</v>
      </c>
      <c r="B92" s="4" t="s">
        <v>94</v>
      </c>
      <c r="C92" s="7">
        <f>(531987/171862)</f>
        <v>3.095431218</v>
      </c>
      <c r="D92" s="5">
        <f t="shared" si="1"/>
        <v>6.404548872</v>
      </c>
    </row>
    <row r="93" ht="15.75" customHeight="1">
      <c r="A93" s="4" t="s">
        <v>95</v>
      </c>
      <c r="B93" s="4" t="s">
        <v>95</v>
      </c>
      <c r="C93" s="7">
        <f>(564119/301745)</f>
        <v>1.869522279</v>
      </c>
      <c r="D93" s="5">
        <f t="shared" si="1"/>
        <v>2.964849267</v>
      </c>
    </row>
    <row r="94" ht="15.75" customHeight="1">
      <c r="A94" s="4" t="s">
        <v>96</v>
      </c>
      <c r="B94" s="4" t="s">
        <v>96</v>
      </c>
      <c r="C94" s="6">
        <f>(758602/320155)</f>
        <v>2.369483531</v>
      </c>
      <c r="D94" s="5">
        <f t="shared" si="1"/>
        <v>4.367658618</v>
      </c>
    </row>
    <row r="95" ht="15.75" customHeight="1">
      <c r="A95" s="4" t="s">
        <v>97</v>
      </c>
      <c r="B95" s="4" t="s">
        <v>97</v>
      </c>
      <c r="C95" s="7">
        <f>(901097/155181)</f>
        <v>5.806748249</v>
      </c>
      <c r="D95" s="5">
        <f t="shared" si="1"/>
        <v>14.01206018</v>
      </c>
    </row>
    <row r="96" ht="15.75" customHeight="1">
      <c r="A96" s="4" t="s">
        <v>98</v>
      </c>
      <c r="B96" s="4" t="s">
        <v>98</v>
      </c>
      <c r="C96" s="7">
        <f>(782969/142117)</f>
        <v>5.509326822</v>
      </c>
      <c r="D96" s="5">
        <f t="shared" si="1"/>
        <v>13.17754439</v>
      </c>
    </row>
    <row r="97" ht="15.75" customHeight="1">
      <c r="A97" s="4" t="s">
        <v>99</v>
      </c>
      <c r="B97" s="4" t="s">
        <v>99</v>
      </c>
      <c r="C97" s="7">
        <f>(622620/163048)</f>
        <v>3.818630097</v>
      </c>
      <c r="D97" s="5">
        <f t="shared" si="1"/>
        <v>8.433726422</v>
      </c>
    </row>
    <row r="98" ht="15.75" customHeight="1">
      <c r="A98" s="4" t="s">
        <v>100</v>
      </c>
      <c r="B98" s="4" t="s">
        <v>80</v>
      </c>
      <c r="C98" s="7">
        <f>(475285/167849)</f>
        <v>2.83162247</v>
      </c>
      <c r="D98" s="5">
        <f t="shared" si="1"/>
        <v>5.664344754</v>
      </c>
    </row>
    <row r="99" ht="15.75" customHeight="1">
      <c r="A99" s="4" t="s">
        <v>101</v>
      </c>
      <c r="B99" s="4" t="s">
        <v>81</v>
      </c>
      <c r="C99" s="7">
        <f>(602780/109702)</f>
        <v>5.494703834</v>
      </c>
      <c r="D99" s="5">
        <f t="shared" si="1"/>
        <v>13.13651469</v>
      </c>
    </row>
    <row r="100" ht="15.75" customHeight="1">
      <c r="A100" s="4" t="s">
        <v>102</v>
      </c>
      <c r="B100" s="4" t="s">
        <v>82</v>
      </c>
      <c r="C100" s="7">
        <f>(1647577/461112)</f>
        <v>3.573051666</v>
      </c>
      <c r="D100" s="5">
        <f t="shared" si="1"/>
        <v>7.744673587</v>
      </c>
    </row>
    <row r="101" ht="15.75" customHeight="1">
      <c r="A101" s="4" t="s">
        <v>103</v>
      </c>
      <c r="B101" s="4" t="s">
        <v>83</v>
      </c>
      <c r="C101" s="7">
        <f>(549939/176140)</f>
        <v>3.122169865</v>
      </c>
      <c r="D101" s="5">
        <f t="shared" si="1"/>
        <v>6.479573134</v>
      </c>
    </row>
    <row r="102" ht="15.75" customHeight="1">
      <c r="A102" s="4" t="s">
        <v>104</v>
      </c>
      <c r="B102" s="4" t="s">
        <v>84</v>
      </c>
      <c r="C102" s="7">
        <f>(277883/301506)</f>
        <v>0.9216499837</v>
      </c>
      <c r="D102" s="5">
        <f t="shared" si="1"/>
        <v>0.3052749263</v>
      </c>
    </row>
    <row r="103" ht="15.75" customHeight="1">
      <c r="A103" s="4" t="s">
        <v>105</v>
      </c>
      <c r="B103" s="4" t="s">
        <v>85</v>
      </c>
      <c r="C103" s="7">
        <f>(227525/138961)</f>
        <v>1.637329898</v>
      </c>
      <c r="D103" s="5">
        <f t="shared" si="1"/>
        <v>2.313355495</v>
      </c>
    </row>
    <row r="104" ht="15.75" customHeight="1">
      <c r="A104" s="4" t="s">
        <v>106</v>
      </c>
      <c r="B104" s="4" t="s">
        <v>86</v>
      </c>
      <c r="C104" s="6">
        <f>(694238/288852)</f>
        <v>2.403438439</v>
      </c>
      <c r="D104" s="5">
        <f t="shared" si="1"/>
        <v>4.462930525</v>
      </c>
    </row>
    <row r="105" ht="15.75" customHeight="1">
      <c r="A105" s="4" t="s">
        <v>107</v>
      </c>
      <c r="B105" s="4" t="s">
        <v>87</v>
      </c>
      <c r="C105" s="6">
        <f>(532025/231218)</f>
        <v>2.300967053</v>
      </c>
      <c r="D105" s="5">
        <f t="shared" si="1"/>
        <v>4.175412606</v>
      </c>
    </row>
    <row r="106" ht="15.75" customHeight="1">
      <c r="A106" s="4" t="s">
        <v>108</v>
      </c>
      <c r="B106" s="4" t="s">
        <v>88</v>
      </c>
      <c r="C106" s="7">
        <f>(962060/314530)</f>
        <v>3.058722538</v>
      </c>
      <c r="D106" s="5">
        <f t="shared" si="1"/>
        <v>6.301550332</v>
      </c>
    </row>
    <row r="107" ht="15.75" customHeight="1">
      <c r="A107" s="4" t="s">
        <v>109</v>
      </c>
      <c r="B107" s="4" t="s">
        <v>89</v>
      </c>
      <c r="C107" s="7">
        <f>(1005146/165119)</f>
        <v>6.08740363</v>
      </c>
      <c r="D107" s="5">
        <f t="shared" si="1"/>
        <v>14.79953319</v>
      </c>
    </row>
    <row r="108" ht="15.75" customHeight="1">
      <c r="A108" s="4" t="s">
        <v>110</v>
      </c>
      <c r="B108" s="4" t="s">
        <v>90</v>
      </c>
      <c r="C108" s="7">
        <f>(857270/185136)</f>
        <v>4.630487858</v>
      </c>
      <c r="D108" s="5">
        <f t="shared" si="1"/>
        <v>10.71166627</v>
      </c>
    </row>
    <row r="109" ht="15.75" customHeight="1">
      <c r="A109" s="4" t="s">
        <v>111</v>
      </c>
      <c r="B109" s="4" t="s">
        <v>91</v>
      </c>
      <c r="C109" s="6">
        <f>(546530/210165)</f>
        <v>2.600480575</v>
      </c>
      <c r="D109" s="5">
        <f t="shared" si="1"/>
        <v>5.01579847</v>
      </c>
    </row>
    <row r="110" ht="15.75" customHeight="1">
      <c r="A110" s="4" t="s">
        <v>112</v>
      </c>
      <c r="B110" s="4" t="s">
        <v>92</v>
      </c>
      <c r="C110" s="7">
        <f>(521980/191841)</f>
        <v>2.720899078</v>
      </c>
      <c r="D110" s="5">
        <f t="shared" si="1"/>
        <v>5.353673058</v>
      </c>
    </row>
    <row r="111" ht="15.75" customHeight="1">
      <c r="A111" s="4" t="s">
        <v>113</v>
      </c>
      <c r="B111" s="4" t="s">
        <v>93</v>
      </c>
      <c r="C111" s="7">
        <f>(820832/152707)</f>
        <v>5.375208733</v>
      </c>
      <c r="D111" s="5">
        <f t="shared" si="1"/>
        <v>12.80123101</v>
      </c>
    </row>
    <row r="112" ht="15.75" customHeight="1">
      <c r="A112" s="4" t="s">
        <v>114</v>
      </c>
      <c r="B112" s="4" t="s">
        <v>94</v>
      </c>
      <c r="C112" s="7">
        <f>(567367/149690)</f>
        <v>3.790279912</v>
      </c>
      <c r="D112" s="5">
        <f t="shared" si="1"/>
        <v>8.354180448</v>
      </c>
    </row>
    <row r="113" ht="15.75" customHeight="1">
      <c r="A113" s="4" t="s">
        <v>115</v>
      </c>
      <c r="B113" s="4" t="s">
        <v>95</v>
      </c>
      <c r="C113" s="7">
        <f>(627935/328624)</f>
        <v>1.910800794</v>
      </c>
      <c r="D113" s="5">
        <f t="shared" si="1"/>
        <v>3.080670016</v>
      </c>
    </row>
    <row r="114" ht="15.75" customHeight="1">
      <c r="A114" s="4" t="s">
        <v>116</v>
      </c>
      <c r="B114" s="4" t="s">
        <v>96</v>
      </c>
      <c r="C114" s="6">
        <f>(673515/240364)</f>
        <v>2.802062705</v>
      </c>
      <c r="D114" s="5">
        <f t="shared" si="1"/>
        <v>5.581404896</v>
      </c>
    </row>
    <row r="115" ht="15.75" customHeight="1">
      <c r="A115" s="4" t="s">
        <v>117</v>
      </c>
      <c r="B115" s="4" t="s">
        <v>97</v>
      </c>
      <c r="C115" s="7">
        <f>(889651/172394)</f>
        <v>5.160568233</v>
      </c>
      <c r="D115" s="5">
        <f t="shared" si="1"/>
        <v>12.19898494</v>
      </c>
    </row>
    <row r="116" ht="15.75" customHeight="1">
      <c r="A116" s="4" t="s">
        <v>118</v>
      </c>
      <c r="B116" s="4" t="s">
        <v>98</v>
      </c>
      <c r="C116" s="7">
        <f>(635647/132490)</f>
        <v>4.797697939</v>
      </c>
      <c r="D116" s="5">
        <f t="shared" si="1"/>
        <v>11.18083036</v>
      </c>
    </row>
    <row r="117" ht="15.75" customHeight="1">
      <c r="A117" s="4" t="s">
        <v>119</v>
      </c>
      <c r="B117" s="4" t="s">
        <v>99</v>
      </c>
      <c r="C117" s="7">
        <f>(2328690/600178)</f>
        <v>3.879998934</v>
      </c>
      <c r="D117" s="5">
        <f t="shared" si="1"/>
        <v>8.605917322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