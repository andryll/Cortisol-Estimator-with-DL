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/Bn80lrPjeMluOdYtp6rVNiDrvL20bzyxTjzO2mR3Fo="/>
    </ext>
  </extLst>
</workbook>
</file>

<file path=xl/sharedStrings.xml><?xml version="1.0" encoding="utf-8"?>
<sst xmlns="http://schemas.openxmlformats.org/spreadsheetml/2006/main" count="76" uniqueCount="47">
  <si>
    <t>Área</t>
  </si>
  <si>
    <t>CT</t>
  </si>
  <si>
    <t>Média</t>
  </si>
  <si>
    <t>DP</t>
  </si>
  <si>
    <t>CV%</t>
  </si>
  <si>
    <t>pg/5mg</t>
  </si>
  <si>
    <t>pg/mg</t>
  </si>
  <si>
    <t>PG</t>
  </si>
  <si>
    <t>1.1</t>
  </si>
  <si>
    <t>2.1</t>
  </si>
  <si>
    <t>3.1</t>
  </si>
  <si>
    <t>4.1</t>
  </si>
  <si>
    <t>5.1</t>
  </si>
  <si>
    <t>6.1</t>
  </si>
  <si>
    <t>7.1</t>
  </si>
  <si>
    <t>8.1</t>
  </si>
  <si>
    <t>10.1</t>
  </si>
  <si>
    <t>9.1</t>
  </si>
  <si>
    <t>11.1</t>
  </si>
  <si>
    <t>12.1</t>
  </si>
  <si>
    <t>13.1</t>
  </si>
  <si>
    <t>14.1</t>
  </si>
  <si>
    <t>15.1</t>
  </si>
  <si>
    <t>16.1</t>
  </si>
  <si>
    <t>17.1</t>
  </si>
  <si>
    <t>18.1</t>
  </si>
  <si>
    <t>19.1</t>
  </si>
  <si>
    <t>18.1.1</t>
  </si>
  <si>
    <t>20.1</t>
  </si>
  <si>
    <t>18.2</t>
  </si>
  <si>
    <t>18.2.1</t>
  </si>
  <si>
    <t>21.1</t>
  </si>
  <si>
    <t>22.1</t>
  </si>
  <si>
    <t>23.1</t>
  </si>
  <si>
    <t>24.1</t>
  </si>
  <si>
    <t>25.1</t>
  </si>
  <si>
    <t>26.1</t>
  </si>
  <si>
    <t>27.1</t>
  </si>
  <si>
    <t>28.1</t>
  </si>
  <si>
    <t>29.1</t>
  </si>
  <si>
    <t>30.1</t>
  </si>
  <si>
    <t>31.1</t>
  </si>
  <si>
    <t>32.1</t>
  </si>
  <si>
    <t>33.1</t>
  </si>
  <si>
    <t>34.1</t>
  </si>
  <si>
    <t>35.1</t>
  </si>
  <si>
    <t>36.1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</si>
</sst>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F1CEEE"/>
        <bgColor rgb="FFF1CEEE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</fills>
  <borders count="4">
    <border/>
    <border>
      <left/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Border="1" applyFont="1"/>
    <xf borderId="2" fillId="3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3" fillId="4" fontId="1" numFmtId="0" xfId="0" applyAlignment="1" applyBorder="1" applyFill="1" applyFont="1">
      <alignment horizontal="center"/>
    </xf>
    <xf borderId="3" fillId="4" fontId="2" numFmtId="0" xfId="0" applyBorder="1" applyFont="1"/>
    <xf borderId="0" fillId="0" fontId="3" numFmtId="0" xfId="0" applyFont="1"/>
    <xf borderId="3" fillId="5" fontId="2" numFmtId="1" xfId="0" applyBorder="1" applyFill="1" applyFont="1" applyNumberFormat="1"/>
    <xf borderId="3" fillId="5" fontId="1" numFmtId="164" xfId="0" applyBorder="1" applyFont="1" applyNumberFormat="1"/>
    <xf borderId="3" fillId="5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0.88"/>
    <col customWidth="1" min="3" max="3" width="20.5"/>
    <col customWidth="1" min="4" max="4" width="13.5"/>
    <col customWidth="1" min="5" max="5" width="14.5"/>
    <col customWidth="1" min="6" max="26" width="8.63"/>
  </cols>
  <sheetData>
    <row r="1">
      <c r="A1" s="1" t="s">
        <v>0</v>
      </c>
      <c r="B1" s="1" t="s">
        <v>1</v>
      </c>
      <c r="C1" s="1" t="s">
        <v>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3" t="s">
        <v>7</v>
      </c>
      <c r="K1" s="3" t="s">
        <v>0</v>
      </c>
      <c r="L1" s="4" t="s">
        <v>7</v>
      </c>
      <c r="M1" s="3" t="s">
        <v>0</v>
      </c>
      <c r="N1" s="5" t="s">
        <v>2</v>
      </c>
      <c r="O1" s="5" t="s">
        <v>3</v>
      </c>
      <c r="P1" s="5" t="s">
        <v>4</v>
      </c>
      <c r="Q1" s="5" t="s">
        <v>5</v>
      </c>
      <c r="R1" s="5" t="s">
        <v>6</v>
      </c>
    </row>
    <row r="2">
      <c r="A2" s="6">
        <f>(550217/238923)</f>
        <v>2.30290512</v>
      </c>
      <c r="B2" s="7" t="s">
        <v>8</v>
      </c>
      <c r="C2" s="6">
        <f>(475285/167849)</f>
        <v>2.83162247</v>
      </c>
      <c r="D2" s="8">
        <f t="shared" ref="D2:D21" si="1">AVERAGE(A2,C2)</f>
        <v>2.567263795</v>
      </c>
      <c r="E2" s="9">
        <f t="shared" ref="E2:E21" si="2">STDEV(A2,C2)</f>
        <v>0.3738596236</v>
      </c>
      <c r="F2" s="10">
        <f t="shared" ref="F2:F21" si="3">(E2/D2)*100</f>
        <v>14.56257142</v>
      </c>
      <c r="G2" s="9">
        <f t="shared" ref="G2:G21" si="4">(D2-0.81285)/0.02376</f>
        <v>73.83896444</v>
      </c>
      <c r="H2" s="11">
        <f t="shared" ref="H2:H21" si="5">(G2/5)/3</f>
        <v>4.922597629</v>
      </c>
      <c r="J2" s="7">
        <v>1.0</v>
      </c>
      <c r="K2" s="6">
        <f>(1201849/164080)</f>
        <v>7.3247745</v>
      </c>
      <c r="L2" s="7" t="s">
        <v>8</v>
      </c>
      <c r="M2" s="6">
        <f>(905776/113083)</f>
        <v>8.009833485</v>
      </c>
      <c r="N2" s="12">
        <f t="shared" ref="N2:N39" si="6">AVERAGE(K2,M2)</f>
        <v>7.667303993</v>
      </c>
      <c r="O2" s="13">
        <f t="shared" ref="O2:O39" si="7">STDEV(K2,M2)</f>
        <v>0.4844098537</v>
      </c>
      <c r="P2" s="10">
        <f t="shared" ref="P2:P39" si="8">(O2/N2)*100</f>
        <v>6.317864196</v>
      </c>
      <c r="Q2" s="9">
        <f t="shared" ref="Q2:Q39" si="9">(N2-0.81285)/0.02376</f>
        <v>288.4871209</v>
      </c>
      <c r="R2" s="11">
        <f t="shared" ref="R2:R39" si="10">(Q2/5)/3</f>
        <v>19.23247473</v>
      </c>
    </row>
    <row r="3">
      <c r="A3" s="6">
        <f>(646981/117285)</f>
        <v>5.516314959</v>
      </c>
      <c r="B3" s="7" t="s">
        <v>9</v>
      </c>
      <c r="C3" s="6">
        <f>(602780/109702)</f>
        <v>5.494703834</v>
      </c>
      <c r="D3" s="8">
        <f t="shared" si="1"/>
        <v>5.505509397</v>
      </c>
      <c r="E3" s="9">
        <f t="shared" si="2"/>
        <v>0.01528137322</v>
      </c>
      <c r="F3" s="10">
        <f t="shared" si="3"/>
        <v>0.2775651102</v>
      </c>
      <c r="G3" s="9">
        <f t="shared" si="4"/>
        <v>197.5024999</v>
      </c>
      <c r="H3" s="11">
        <f t="shared" si="5"/>
        <v>13.16683332</v>
      </c>
      <c r="J3" s="7">
        <v>2.0</v>
      </c>
      <c r="K3" s="6">
        <f>(1425023/147574)</f>
        <v>9.656328351</v>
      </c>
      <c r="L3" s="7" t="s">
        <v>9</v>
      </c>
      <c r="M3" s="6">
        <f>(1563236/147017)</f>
        <v>10.63302883</v>
      </c>
      <c r="N3" s="12">
        <f t="shared" si="6"/>
        <v>10.14467859</v>
      </c>
      <c r="O3" s="9">
        <f t="shared" si="7"/>
        <v>0.6906315346</v>
      </c>
      <c r="P3" s="10">
        <f t="shared" si="8"/>
        <v>6.807820754</v>
      </c>
      <c r="Q3" s="9">
        <f t="shared" si="9"/>
        <v>392.7537286</v>
      </c>
      <c r="R3" s="11">
        <f t="shared" si="10"/>
        <v>26.18358191</v>
      </c>
    </row>
    <row r="4">
      <c r="A4" s="6">
        <f>(777819/179251)</f>
        <v>4.339272863</v>
      </c>
      <c r="B4" s="7" t="s">
        <v>10</v>
      </c>
      <c r="C4" s="6">
        <f>(1647577/461112)</f>
        <v>3.573051666</v>
      </c>
      <c r="D4" s="8">
        <f t="shared" si="1"/>
        <v>3.956162265</v>
      </c>
      <c r="E4" s="9">
        <f t="shared" si="2"/>
        <v>0.5418002041</v>
      </c>
      <c r="F4" s="10">
        <f t="shared" si="3"/>
        <v>13.6950956</v>
      </c>
      <c r="G4" s="9">
        <f t="shared" si="4"/>
        <v>132.2942872</v>
      </c>
      <c r="H4" s="11">
        <f t="shared" si="5"/>
        <v>8.819619149</v>
      </c>
      <c r="J4" s="7">
        <v>3.0</v>
      </c>
      <c r="K4" s="6">
        <f>(2115514/132459)</f>
        <v>15.97108539</v>
      </c>
      <c r="L4" s="7" t="s">
        <v>10</v>
      </c>
      <c r="M4" s="6">
        <f>(1080333/80764)</f>
        <v>13.37641771</v>
      </c>
      <c r="N4" s="12">
        <f t="shared" si="6"/>
        <v>14.67375155</v>
      </c>
      <c r="O4" s="9">
        <f t="shared" si="7"/>
        <v>1.834707113</v>
      </c>
      <c r="P4" s="10">
        <f t="shared" si="8"/>
        <v>12.50332682</v>
      </c>
      <c r="Q4" s="9">
        <f t="shared" si="9"/>
        <v>583.3712774</v>
      </c>
      <c r="R4" s="11">
        <f t="shared" si="10"/>
        <v>38.8914185</v>
      </c>
    </row>
    <row r="5">
      <c r="A5" s="6">
        <f>(570759/174101)</f>
        <v>3.278321204</v>
      </c>
      <c r="B5" s="7" t="s">
        <v>11</v>
      </c>
      <c r="C5" s="6">
        <f>(549939/176140)</f>
        <v>3.122169865</v>
      </c>
      <c r="D5" s="8">
        <f t="shared" si="1"/>
        <v>3.200245535</v>
      </c>
      <c r="E5" s="9">
        <f t="shared" si="2"/>
        <v>0.110415671</v>
      </c>
      <c r="F5" s="10">
        <f t="shared" si="3"/>
        <v>3.450224986</v>
      </c>
      <c r="G5" s="9">
        <f t="shared" si="4"/>
        <v>100.47961</v>
      </c>
      <c r="H5" s="11">
        <f t="shared" si="5"/>
        <v>6.69864067</v>
      </c>
      <c r="J5" s="7">
        <v>4.0</v>
      </c>
      <c r="K5" s="6">
        <f>(1499724/155329)</f>
        <v>9.655144886</v>
      </c>
      <c r="L5" s="7" t="s">
        <v>11</v>
      </c>
      <c r="M5" s="6">
        <f>(1569920/137298)</f>
        <v>11.43439817</v>
      </c>
      <c r="N5" s="12">
        <f t="shared" si="6"/>
        <v>10.54477153</v>
      </c>
      <c r="O5" s="9">
        <f t="shared" si="7"/>
        <v>1.258122063</v>
      </c>
      <c r="P5" s="10">
        <f t="shared" si="8"/>
        <v>11.93124061</v>
      </c>
      <c r="Q5" s="9">
        <f t="shared" si="9"/>
        <v>409.5926569</v>
      </c>
      <c r="R5" s="11">
        <f t="shared" si="10"/>
        <v>27.30617713</v>
      </c>
    </row>
    <row r="6">
      <c r="A6" s="6">
        <f>(232266/161046)</f>
        <v>1.442233896</v>
      </c>
      <c r="B6" s="7" t="s">
        <v>12</v>
      </c>
      <c r="C6" s="6">
        <f>(277883/301506)</f>
        <v>0.9216499837</v>
      </c>
      <c r="D6" s="8">
        <f t="shared" si="1"/>
        <v>1.18194194</v>
      </c>
      <c r="E6" s="13">
        <f t="shared" si="2"/>
        <v>0.3681084145</v>
      </c>
      <c r="F6" s="10">
        <f t="shared" si="3"/>
        <v>31.14437368</v>
      </c>
      <c r="G6" s="9">
        <f t="shared" si="4"/>
        <v>15.53417255</v>
      </c>
      <c r="H6" s="11">
        <f t="shared" si="5"/>
        <v>1.035611503</v>
      </c>
      <c r="J6" s="7">
        <v>5.0</v>
      </c>
      <c r="K6" s="6">
        <f>(292483/126442)</f>
        <v>2.313179165</v>
      </c>
      <c r="L6" s="7" t="s">
        <v>12</v>
      </c>
      <c r="M6" s="6">
        <f>(290750/120928)</f>
        <v>2.404323234</v>
      </c>
      <c r="N6" s="12">
        <f t="shared" si="6"/>
        <v>2.358751199</v>
      </c>
      <c r="O6" s="9">
        <f t="shared" si="7"/>
        <v>0.06444858891</v>
      </c>
      <c r="P6" s="10">
        <f t="shared" si="8"/>
        <v>2.732318225</v>
      </c>
      <c r="Q6" s="9">
        <f t="shared" si="9"/>
        <v>65.06318179</v>
      </c>
      <c r="R6" s="11">
        <f t="shared" si="10"/>
        <v>4.337545453</v>
      </c>
    </row>
    <row r="7">
      <c r="A7" s="6">
        <f>(272182/139004)</f>
        <v>1.958087537</v>
      </c>
      <c r="B7" s="7" t="s">
        <v>13</v>
      </c>
      <c r="C7" s="6">
        <f>(227525/138961)</f>
        <v>1.637329898</v>
      </c>
      <c r="D7" s="8">
        <f t="shared" si="1"/>
        <v>1.797708718</v>
      </c>
      <c r="E7" s="9">
        <f t="shared" si="2"/>
        <v>0.2268099015</v>
      </c>
      <c r="F7" s="10">
        <f t="shared" si="3"/>
        <v>12.6166102</v>
      </c>
      <c r="G7" s="9">
        <f t="shared" si="4"/>
        <v>41.45028273</v>
      </c>
      <c r="H7" s="11">
        <f t="shared" si="5"/>
        <v>2.763352182</v>
      </c>
      <c r="J7" s="7">
        <v>6.0</v>
      </c>
      <c r="K7" s="6">
        <f>(1502709/179364)</f>
        <v>8.377985549</v>
      </c>
      <c r="L7" s="7" t="s">
        <v>13</v>
      </c>
      <c r="M7" s="6">
        <f>(1567691/220605)</f>
        <v>7.106325786</v>
      </c>
      <c r="N7" s="12">
        <f t="shared" si="6"/>
        <v>7.742155667</v>
      </c>
      <c r="O7" s="9">
        <f t="shared" si="7"/>
        <v>0.8991992418</v>
      </c>
      <c r="P7" s="10">
        <f t="shared" si="8"/>
        <v>11.61432656</v>
      </c>
      <c r="Q7" s="9">
        <f t="shared" si="9"/>
        <v>291.6374439</v>
      </c>
      <c r="R7" s="11">
        <f t="shared" si="10"/>
        <v>19.44249626</v>
      </c>
    </row>
    <row r="8">
      <c r="A8" s="6">
        <f>(670996/224122)</f>
        <v>2.993887258</v>
      </c>
      <c r="B8" s="7" t="s">
        <v>14</v>
      </c>
      <c r="C8" s="6">
        <f>(694238/288852)</f>
        <v>2.403438439</v>
      </c>
      <c r="D8" s="8">
        <f t="shared" si="1"/>
        <v>2.698662848</v>
      </c>
      <c r="E8" s="9">
        <f t="shared" si="2"/>
        <v>0.4175103637</v>
      </c>
      <c r="F8" s="10">
        <f t="shared" si="3"/>
        <v>15.47100869</v>
      </c>
      <c r="G8" s="9">
        <f t="shared" si="4"/>
        <v>79.36922763</v>
      </c>
      <c r="H8" s="11">
        <f t="shared" si="5"/>
        <v>5.291281842</v>
      </c>
      <c r="J8" s="7">
        <v>7.0</v>
      </c>
      <c r="K8" s="6">
        <f>(2402829/198256)</f>
        <v>12.11982992</v>
      </c>
      <c r="L8" s="7" t="s">
        <v>14</v>
      </c>
      <c r="M8" s="6">
        <f>(5193217/358391)</f>
        <v>14.49036667</v>
      </c>
      <c r="N8" s="12">
        <f t="shared" si="6"/>
        <v>13.30509829</v>
      </c>
      <c r="O8" s="9">
        <f t="shared" si="7"/>
        <v>1.676222611</v>
      </c>
      <c r="P8" s="10">
        <f t="shared" si="8"/>
        <v>12.5983482</v>
      </c>
      <c r="Q8" s="9">
        <f t="shared" si="9"/>
        <v>525.7680257</v>
      </c>
      <c r="R8" s="11">
        <f t="shared" si="10"/>
        <v>35.05120172</v>
      </c>
    </row>
    <row r="9">
      <c r="A9" s="6">
        <f>(521129/210375)</f>
        <v>2.477143197</v>
      </c>
      <c r="B9" s="7" t="s">
        <v>15</v>
      </c>
      <c r="C9" s="6">
        <f>(532025/231218)</f>
        <v>2.300967053</v>
      </c>
      <c r="D9" s="8">
        <f t="shared" si="1"/>
        <v>2.389055125</v>
      </c>
      <c r="E9" s="9">
        <f t="shared" si="2"/>
        <v>0.1245753461</v>
      </c>
      <c r="F9" s="10">
        <f t="shared" si="3"/>
        <v>5.214419072</v>
      </c>
      <c r="G9" s="9">
        <f t="shared" si="4"/>
        <v>66.33859952</v>
      </c>
      <c r="H9" s="11">
        <f t="shared" si="5"/>
        <v>4.422573302</v>
      </c>
      <c r="J9" s="7">
        <v>8.0</v>
      </c>
      <c r="K9" s="6">
        <f>(895364/120542)</f>
        <v>7.42781769</v>
      </c>
      <c r="L9" s="7" t="s">
        <v>15</v>
      </c>
      <c r="M9" s="6">
        <f>(980270/123030)</f>
        <v>7.967731448</v>
      </c>
      <c r="N9" s="12">
        <f t="shared" si="6"/>
        <v>7.697774569</v>
      </c>
      <c r="O9" s="13">
        <f t="shared" si="7"/>
        <v>0.3817766792</v>
      </c>
      <c r="P9" s="10">
        <f t="shared" si="8"/>
        <v>4.959572092</v>
      </c>
      <c r="Q9" s="9">
        <f t="shared" si="9"/>
        <v>289.7695526</v>
      </c>
      <c r="R9" s="11">
        <f t="shared" si="10"/>
        <v>19.31797017</v>
      </c>
    </row>
    <row r="10">
      <c r="A10" s="6">
        <f>(995109/380467)</f>
        <v>2.615493591</v>
      </c>
      <c r="B10" s="7" t="s">
        <v>16</v>
      </c>
      <c r="C10" s="6">
        <f>(962060/314530)</f>
        <v>3.058722538</v>
      </c>
      <c r="D10" s="8">
        <f t="shared" si="1"/>
        <v>2.837108065</v>
      </c>
      <c r="E10" s="9">
        <f t="shared" si="2"/>
        <v>0.3134101945</v>
      </c>
      <c r="F10" s="10">
        <f t="shared" si="3"/>
        <v>11.04681906</v>
      </c>
      <c r="G10" s="9">
        <f t="shared" si="4"/>
        <v>85.19604649</v>
      </c>
      <c r="H10" s="11">
        <f t="shared" si="5"/>
        <v>5.679736433</v>
      </c>
      <c r="J10" s="7">
        <v>9.0</v>
      </c>
      <c r="K10" s="6">
        <f>(1477627/135518)</f>
        <v>10.90354787</v>
      </c>
      <c r="L10" s="7" t="s">
        <v>17</v>
      </c>
      <c r="M10" s="6">
        <f>(1451981/108306)</f>
        <v>13.40628405</v>
      </c>
      <c r="N10" s="12">
        <f t="shared" si="6"/>
        <v>12.15491596</v>
      </c>
      <c r="O10" s="9">
        <f t="shared" si="7"/>
        <v>1.769701724</v>
      </c>
      <c r="P10" s="10">
        <f t="shared" si="8"/>
        <v>14.55955541</v>
      </c>
      <c r="Q10" s="9">
        <f t="shared" si="9"/>
        <v>477.3596784</v>
      </c>
      <c r="R10" s="11">
        <f t="shared" si="10"/>
        <v>31.82397856</v>
      </c>
    </row>
    <row r="11">
      <c r="A11" s="6">
        <f>(1032794/183872)</f>
        <v>5.616918291</v>
      </c>
      <c r="B11" s="7" t="s">
        <v>18</v>
      </c>
      <c r="C11" s="6">
        <f>(1005146/165119)</f>
        <v>6.08740363</v>
      </c>
      <c r="D11" s="8">
        <f t="shared" si="1"/>
        <v>5.852160961</v>
      </c>
      <c r="E11" s="9">
        <f t="shared" si="2"/>
        <v>0.3326833737</v>
      </c>
      <c r="F11" s="10">
        <f t="shared" si="3"/>
        <v>5.684795343</v>
      </c>
      <c r="G11" s="9">
        <f t="shared" si="4"/>
        <v>212.0922121</v>
      </c>
      <c r="H11" s="11">
        <f t="shared" si="5"/>
        <v>14.13948081</v>
      </c>
      <c r="J11" s="7">
        <v>10.0</v>
      </c>
      <c r="K11" s="6">
        <f>(1559151/121301)</f>
        <v>12.85357087</v>
      </c>
      <c r="L11" s="7" t="s">
        <v>16</v>
      </c>
      <c r="M11" s="6">
        <f>(1817047/116958)</f>
        <v>15.53589323</v>
      </c>
      <c r="N11" s="12">
        <f t="shared" si="6"/>
        <v>14.19473205</v>
      </c>
      <c r="O11" s="9">
        <f t="shared" si="7"/>
        <v>1.896688328</v>
      </c>
      <c r="P11" s="10">
        <f t="shared" si="8"/>
        <v>13.3619171</v>
      </c>
      <c r="Q11" s="9">
        <f t="shared" si="9"/>
        <v>563.2105239</v>
      </c>
      <c r="R11" s="11">
        <f t="shared" si="10"/>
        <v>37.54736826</v>
      </c>
    </row>
    <row r="12">
      <c r="A12" s="6">
        <f>(862369/208638)</f>
        <v>4.133326623</v>
      </c>
      <c r="B12" s="7" t="s">
        <v>19</v>
      </c>
      <c r="C12" s="6">
        <f>(857270/185136)</f>
        <v>4.630487858</v>
      </c>
      <c r="D12" s="8">
        <f t="shared" si="1"/>
        <v>4.38190724</v>
      </c>
      <c r="E12" s="9">
        <f t="shared" si="2"/>
        <v>0.3515460802</v>
      </c>
      <c r="F12" s="10">
        <f t="shared" si="3"/>
        <v>8.022672798</v>
      </c>
      <c r="G12" s="9">
        <f t="shared" si="4"/>
        <v>150.2128468</v>
      </c>
      <c r="H12" s="11">
        <f t="shared" si="5"/>
        <v>10.01418979</v>
      </c>
      <c r="J12" s="7">
        <v>11.0</v>
      </c>
      <c r="K12" s="6">
        <f>(943883/134640)</f>
        <v>7.01042038</v>
      </c>
      <c r="L12" s="7" t="s">
        <v>18</v>
      </c>
      <c r="M12" s="6">
        <f>(932325/122191)</f>
        <v>7.630062771</v>
      </c>
      <c r="N12" s="12">
        <f t="shared" si="6"/>
        <v>7.320241575</v>
      </c>
      <c r="O12" s="13">
        <f t="shared" si="7"/>
        <v>0.4381533361</v>
      </c>
      <c r="P12" s="10">
        <f t="shared" si="8"/>
        <v>5.985503779</v>
      </c>
      <c r="Q12" s="9">
        <f t="shared" si="9"/>
        <v>273.8801168</v>
      </c>
      <c r="R12" s="11">
        <f t="shared" si="10"/>
        <v>18.25867445</v>
      </c>
    </row>
    <row r="13">
      <c r="A13" s="6">
        <f>(539906/209577)</f>
        <v>2.576170095</v>
      </c>
      <c r="B13" s="7" t="s">
        <v>20</v>
      </c>
      <c r="C13" s="6">
        <f>(546530/210165)</f>
        <v>2.600480575</v>
      </c>
      <c r="D13" s="8">
        <f t="shared" si="1"/>
        <v>2.588325335</v>
      </c>
      <c r="E13" s="13">
        <f t="shared" si="2"/>
        <v>0.01719010511</v>
      </c>
      <c r="F13" s="10">
        <f t="shared" si="3"/>
        <v>0.6641400476</v>
      </c>
      <c r="G13" s="9">
        <f t="shared" si="4"/>
        <v>74.72539288</v>
      </c>
      <c r="H13" s="11">
        <f t="shared" si="5"/>
        <v>4.981692859</v>
      </c>
      <c r="J13" s="7">
        <v>12.0</v>
      </c>
      <c r="K13" s="6">
        <f>(3401631/196674)</f>
        <v>17.29578389</v>
      </c>
      <c r="L13" s="7" t="s">
        <v>19</v>
      </c>
      <c r="M13" s="6">
        <f>(1711986/122505)</f>
        <v>13.97482552</v>
      </c>
      <c r="N13" s="12">
        <f t="shared" si="6"/>
        <v>15.6353047</v>
      </c>
      <c r="O13" s="9">
        <f t="shared" si="7"/>
        <v>2.348272183</v>
      </c>
      <c r="P13" s="10">
        <f t="shared" si="8"/>
        <v>15.0190369</v>
      </c>
      <c r="Q13" s="9">
        <f t="shared" si="9"/>
        <v>623.8406861</v>
      </c>
      <c r="R13" s="11">
        <f t="shared" si="10"/>
        <v>41.58937907</v>
      </c>
    </row>
    <row r="14">
      <c r="A14" s="6">
        <f>(513370/195742)</f>
        <v>2.622687006</v>
      </c>
      <c r="B14" s="7" t="s">
        <v>21</v>
      </c>
      <c r="C14" s="6">
        <f>(521980/191841)</f>
        <v>2.720899078</v>
      </c>
      <c r="D14" s="8">
        <f t="shared" si="1"/>
        <v>2.671793042</v>
      </c>
      <c r="E14" s="9">
        <f t="shared" si="2"/>
        <v>0.06944642176</v>
      </c>
      <c r="F14" s="10">
        <f t="shared" si="3"/>
        <v>2.599244053</v>
      </c>
      <c r="G14" s="9">
        <f t="shared" si="4"/>
        <v>78.23834352</v>
      </c>
      <c r="H14" s="11">
        <f t="shared" si="5"/>
        <v>5.215889568</v>
      </c>
      <c r="J14" s="7">
        <v>13.0</v>
      </c>
      <c r="K14" s="6">
        <f>(285753/102282)</f>
        <v>2.793776031</v>
      </c>
      <c r="L14" s="7" t="s">
        <v>20</v>
      </c>
      <c r="M14" s="6">
        <f>(202755/58399)</f>
        <v>3.471891642</v>
      </c>
      <c r="N14" s="12">
        <f t="shared" si="6"/>
        <v>3.132833836</v>
      </c>
      <c r="O14" s="9">
        <f t="shared" si="7"/>
        <v>0.479500147</v>
      </c>
      <c r="P14" s="10">
        <f t="shared" si="8"/>
        <v>15.30563611</v>
      </c>
      <c r="Q14" s="9">
        <f t="shared" si="9"/>
        <v>97.64241736</v>
      </c>
      <c r="R14" s="11">
        <f t="shared" si="10"/>
        <v>6.509494491</v>
      </c>
    </row>
    <row r="15">
      <c r="A15" s="6">
        <f>(900408/154066)</f>
        <v>5.844300495</v>
      </c>
      <c r="B15" s="7" t="s">
        <v>22</v>
      </c>
      <c r="C15" s="6">
        <f>(820832/152707)</f>
        <v>5.375208733</v>
      </c>
      <c r="D15" s="8">
        <f t="shared" si="1"/>
        <v>5.609754614</v>
      </c>
      <c r="E15" s="9">
        <f t="shared" si="2"/>
        <v>0.3316979656</v>
      </c>
      <c r="F15" s="10">
        <f t="shared" si="3"/>
        <v>5.912878342</v>
      </c>
      <c r="G15" s="9">
        <f t="shared" si="4"/>
        <v>201.8899248</v>
      </c>
      <c r="H15" s="11">
        <f t="shared" si="5"/>
        <v>13.45932832</v>
      </c>
      <c r="J15" s="7">
        <v>14.0</v>
      </c>
      <c r="K15" s="6">
        <f>(1020394/138984)</f>
        <v>7.341809129</v>
      </c>
      <c r="L15" s="7" t="s">
        <v>21</v>
      </c>
      <c r="M15" s="6">
        <f>(889933/131337)</f>
        <v>6.775950418</v>
      </c>
      <c r="N15" s="12">
        <f t="shared" si="6"/>
        <v>7.058879773</v>
      </c>
      <c r="O15" s="9">
        <f t="shared" si="7"/>
        <v>0.4001225321</v>
      </c>
      <c r="P15" s="10">
        <f t="shared" si="8"/>
        <v>5.668357373</v>
      </c>
      <c r="Q15" s="9">
        <f t="shared" si="9"/>
        <v>262.880041</v>
      </c>
      <c r="R15" s="11">
        <f t="shared" si="10"/>
        <v>17.52533606</v>
      </c>
    </row>
    <row r="16">
      <c r="A16" s="6">
        <f>(531987/171862)</f>
        <v>3.095431218</v>
      </c>
      <c r="B16" s="7" t="s">
        <v>23</v>
      </c>
      <c r="C16" s="6">
        <f>(567367/149690)</f>
        <v>3.790279912</v>
      </c>
      <c r="D16" s="8">
        <f t="shared" si="1"/>
        <v>3.442855565</v>
      </c>
      <c r="E16" s="9">
        <f t="shared" si="2"/>
        <v>0.4913322232</v>
      </c>
      <c r="F16" s="10">
        <f t="shared" si="3"/>
        <v>14.27106697</v>
      </c>
      <c r="G16" s="9">
        <f t="shared" si="4"/>
        <v>110.6904699</v>
      </c>
      <c r="H16" s="11">
        <f t="shared" si="5"/>
        <v>7.37936466</v>
      </c>
      <c r="J16" s="7">
        <v>15.0</v>
      </c>
      <c r="K16" s="6">
        <f>(946028/111844)</f>
        <v>8.458459998</v>
      </c>
      <c r="L16" s="7" t="s">
        <v>22</v>
      </c>
      <c r="M16" s="6">
        <f>(829082/119750)</f>
        <v>6.923440501</v>
      </c>
      <c r="N16" s="12">
        <f t="shared" si="6"/>
        <v>7.690950249</v>
      </c>
      <c r="O16" s="9">
        <f t="shared" si="7"/>
        <v>1.085422695</v>
      </c>
      <c r="P16" s="10">
        <f t="shared" si="8"/>
        <v>14.11298553</v>
      </c>
      <c r="Q16" s="9">
        <f t="shared" si="9"/>
        <v>289.4823337</v>
      </c>
      <c r="R16" s="11">
        <f t="shared" si="10"/>
        <v>19.29882225</v>
      </c>
    </row>
    <row r="17">
      <c r="A17" s="6">
        <f>(564119/301745)</f>
        <v>1.869522279</v>
      </c>
      <c r="B17" s="7" t="s">
        <v>24</v>
      </c>
      <c r="C17" s="6">
        <f>(627935/328624)</f>
        <v>1.910800794</v>
      </c>
      <c r="D17" s="8">
        <f t="shared" si="1"/>
        <v>1.890161536</v>
      </c>
      <c r="E17" s="13">
        <f t="shared" si="2"/>
        <v>0.02918831778</v>
      </c>
      <c r="F17" s="10">
        <f t="shared" si="3"/>
        <v>1.544223455</v>
      </c>
      <c r="G17" s="9">
        <f t="shared" si="4"/>
        <v>45.34139462</v>
      </c>
      <c r="H17" s="11">
        <f t="shared" si="5"/>
        <v>3.022759641</v>
      </c>
      <c r="J17" s="7">
        <v>16.0</v>
      </c>
      <c r="K17" s="6">
        <f>(716896/100675)</f>
        <v>7.120893966</v>
      </c>
      <c r="L17" s="7" t="s">
        <v>23</v>
      </c>
      <c r="M17" s="6">
        <f>(935304/114243)</f>
        <v>8.18696988</v>
      </c>
      <c r="N17" s="12">
        <f t="shared" si="6"/>
        <v>7.653931923</v>
      </c>
      <c r="O17" s="9">
        <f t="shared" si="7"/>
        <v>0.7538295082</v>
      </c>
      <c r="P17" s="10">
        <f t="shared" si="8"/>
        <v>9.848918384</v>
      </c>
      <c r="Q17" s="9">
        <f t="shared" si="9"/>
        <v>287.9243234</v>
      </c>
      <c r="R17" s="11">
        <f t="shared" si="10"/>
        <v>19.19495489</v>
      </c>
    </row>
    <row r="18">
      <c r="A18" s="6">
        <f>(758602/320155)</f>
        <v>2.369483531</v>
      </c>
      <c r="B18" s="7" t="s">
        <v>25</v>
      </c>
      <c r="C18" s="6">
        <f>(673515/240364)</f>
        <v>2.802062705</v>
      </c>
      <c r="D18" s="8">
        <f t="shared" si="1"/>
        <v>2.585773118</v>
      </c>
      <c r="E18" s="13">
        <f t="shared" si="2"/>
        <v>0.305879667</v>
      </c>
      <c r="F18" s="10">
        <f t="shared" si="3"/>
        <v>11.82933123</v>
      </c>
      <c r="G18" s="9">
        <f t="shared" si="4"/>
        <v>74.61797635</v>
      </c>
      <c r="H18" s="11">
        <f t="shared" si="5"/>
        <v>4.974531757</v>
      </c>
      <c r="J18" s="7">
        <v>17.0</v>
      </c>
      <c r="K18" s="6">
        <f>(1473712/132141)</f>
        <v>11.15257187</v>
      </c>
      <c r="L18" s="7" t="s">
        <v>24</v>
      </c>
      <c r="M18" s="6">
        <f>(1283135/98770)</f>
        <v>12.99114103</v>
      </c>
      <c r="N18" s="12">
        <f t="shared" si="6"/>
        <v>12.07185645</v>
      </c>
      <c r="O18" s="9">
        <f t="shared" si="7"/>
        <v>1.300064721</v>
      </c>
      <c r="P18" s="10">
        <f t="shared" si="8"/>
        <v>10.76938519</v>
      </c>
      <c r="Q18" s="9">
        <f t="shared" si="9"/>
        <v>473.863908</v>
      </c>
      <c r="R18" s="11">
        <f t="shared" si="10"/>
        <v>31.5909272</v>
      </c>
    </row>
    <row r="19">
      <c r="A19" s="6">
        <f>(901097/155181)</f>
        <v>5.806748249</v>
      </c>
      <c r="B19" s="7" t="s">
        <v>26</v>
      </c>
      <c r="C19" s="6">
        <f>(889651/172394)</f>
        <v>5.160568233</v>
      </c>
      <c r="D19" s="8">
        <f t="shared" si="1"/>
        <v>5.483658241</v>
      </c>
      <c r="E19" s="9">
        <f t="shared" si="2"/>
        <v>0.4569182709</v>
      </c>
      <c r="F19" s="10">
        <f t="shared" si="3"/>
        <v>8.332362281</v>
      </c>
      <c r="G19" s="9">
        <f t="shared" si="4"/>
        <v>196.5828384</v>
      </c>
      <c r="H19" s="11">
        <f t="shared" si="5"/>
        <v>13.10552256</v>
      </c>
      <c r="J19" s="7" t="s">
        <v>25</v>
      </c>
      <c r="K19" s="6">
        <f>(1088206/144771)</f>
        <v>7.516740231</v>
      </c>
      <c r="L19" s="7" t="s">
        <v>27</v>
      </c>
      <c r="M19" s="6">
        <f>(1036365/129914)</f>
        <v>7.977315763</v>
      </c>
      <c r="N19" s="12">
        <f t="shared" si="6"/>
        <v>7.747027997</v>
      </c>
      <c r="O19" s="9">
        <f t="shared" si="7"/>
        <v>0.3256760817</v>
      </c>
      <c r="P19" s="10">
        <f t="shared" si="8"/>
        <v>4.203884145</v>
      </c>
      <c r="Q19" s="9">
        <f t="shared" si="9"/>
        <v>291.8425083</v>
      </c>
      <c r="R19" s="11">
        <f t="shared" si="10"/>
        <v>19.45616722</v>
      </c>
    </row>
    <row r="20">
      <c r="A20" s="6">
        <f>(782969/142117)</f>
        <v>5.509326822</v>
      </c>
      <c r="B20" s="7" t="s">
        <v>28</v>
      </c>
      <c r="C20" s="6">
        <f>(635647/132490)</f>
        <v>4.797697939</v>
      </c>
      <c r="D20" s="8">
        <f t="shared" si="1"/>
        <v>5.153512381</v>
      </c>
      <c r="E20" s="9">
        <f t="shared" si="2"/>
        <v>0.5031976087</v>
      </c>
      <c r="F20" s="10">
        <f t="shared" si="3"/>
        <v>9.764168038</v>
      </c>
      <c r="G20" s="9">
        <f t="shared" si="4"/>
        <v>182.6878106</v>
      </c>
      <c r="H20" s="11">
        <f t="shared" si="5"/>
        <v>12.17918738</v>
      </c>
      <c r="J20" s="7" t="s">
        <v>29</v>
      </c>
      <c r="K20" s="6">
        <f>(1318537/178253)</f>
        <v>7.396997526</v>
      </c>
      <c r="L20" s="7" t="s">
        <v>30</v>
      </c>
      <c r="M20" s="6">
        <f>(1522892/171633)</f>
        <v>8.872955667</v>
      </c>
      <c r="N20" s="12">
        <f t="shared" si="6"/>
        <v>8.134976597</v>
      </c>
      <c r="O20" s="9">
        <f t="shared" si="7"/>
        <v>1.04366001</v>
      </c>
      <c r="P20" s="10">
        <f t="shared" si="8"/>
        <v>12.82929333</v>
      </c>
      <c r="Q20" s="9">
        <f t="shared" si="9"/>
        <v>308.1703113</v>
      </c>
      <c r="R20" s="11">
        <f t="shared" si="10"/>
        <v>20.54468742</v>
      </c>
    </row>
    <row r="21" ht="15.75" customHeight="1">
      <c r="A21" s="6">
        <f>(622620/163048)</f>
        <v>3.818630097</v>
      </c>
      <c r="B21" s="7" t="s">
        <v>31</v>
      </c>
      <c r="C21" s="6">
        <f>(2328690/600178)</f>
        <v>3.879998934</v>
      </c>
      <c r="D21" s="8">
        <f t="shared" si="1"/>
        <v>3.849314515</v>
      </c>
      <c r="E21" s="9">
        <f t="shared" si="2"/>
        <v>0.04339432079</v>
      </c>
      <c r="F21" s="10">
        <f t="shared" si="3"/>
        <v>1.127325933</v>
      </c>
      <c r="G21" s="9">
        <f t="shared" si="4"/>
        <v>127.7973281</v>
      </c>
      <c r="H21" s="11">
        <f t="shared" si="5"/>
        <v>8.519821872</v>
      </c>
      <c r="J21" s="7">
        <v>19.0</v>
      </c>
      <c r="K21" s="6">
        <f>(1528002/145611)</f>
        <v>10.49372644</v>
      </c>
      <c r="L21" s="7" t="s">
        <v>26</v>
      </c>
      <c r="M21" s="6">
        <f>(1538403/162312)</f>
        <v>9.478060772</v>
      </c>
      <c r="N21" s="12">
        <f t="shared" si="6"/>
        <v>9.985893604</v>
      </c>
      <c r="O21" s="9">
        <f t="shared" si="7"/>
        <v>0.7181840782</v>
      </c>
      <c r="P21" s="10">
        <f t="shared" si="8"/>
        <v>7.191986082</v>
      </c>
      <c r="Q21" s="9">
        <f t="shared" si="9"/>
        <v>386.0708587</v>
      </c>
      <c r="R21" s="11">
        <f t="shared" si="10"/>
        <v>25.73805725</v>
      </c>
    </row>
    <row r="22" ht="15.75" customHeight="1">
      <c r="J22" s="7">
        <v>20.0</v>
      </c>
      <c r="K22" s="6">
        <f>(611222/97183)</f>
        <v>6.289392178</v>
      </c>
      <c r="L22" s="7" t="s">
        <v>28</v>
      </c>
      <c r="M22" s="6">
        <f>(580760/99722)</f>
        <v>5.823790137</v>
      </c>
      <c r="N22" s="12">
        <f t="shared" si="6"/>
        <v>6.056591157</v>
      </c>
      <c r="O22" s="9">
        <f t="shared" si="7"/>
        <v>0.3292303606</v>
      </c>
      <c r="P22" s="10">
        <f t="shared" si="8"/>
        <v>5.435902012</v>
      </c>
      <c r="Q22" s="9">
        <f t="shared" si="9"/>
        <v>220.6961766</v>
      </c>
      <c r="R22" s="11">
        <f t="shared" si="10"/>
        <v>14.71307844</v>
      </c>
    </row>
    <row r="23" ht="15.75" customHeight="1">
      <c r="J23" s="7">
        <v>21.0</v>
      </c>
      <c r="K23" s="6">
        <f>(955195/122568)</f>
        <v>7.793184192</v>
      </c>
      <c r="L23" s="7" t="s">
        <v>31</v>
      </c>
      <c r="M23" s="6">
        <f>(1039480/151046)</f>
        <v>6.881877044</v>
      </c>
      <c r="N23" s="12">
        <f t="shared" si="6"/>
        <v>7.337530618</v>
      </c>
      <c r="O23" s="9">
        <f t="shared" si="7"/>
        <v>0.6443914638</v>
      </c>
      <c r="P23" s="10">
        <f t="shared" si="8"/>
        <v>8.782129811</v>
      </c>
      <c r="Q23" s="9">
        <f t="shared" si="9"/>
        <v>274.6077701</v>
      </c>
      <c r="R23" s="11">
        <f t="shared" si="10"/>
        <v>18.30718467</v>
      </c>
    </row>
    <row r="24" ht="15.75" customHeight="1">
      <c r="J24" s="7">
        <v>22.0</v>
      </c>
      <c r="K24" s="6">
        <f>(990479/109302)</f>
        <v>9.061856142</v>
      </c>
      <c r="L24" s="7" t="s">
        <v>32</v>
      </c>
      <c r="M24" s="6">
        <f>(770576/101848)</f>
        <v>7.565941403</v>
      </c>
      <c r="N24" s="12">
        <f t="shared" si="6"/>
        <v>8.313898772</v>
      </c>
      <c r="O24" s="9">
        <f t="shared" si="7"/>
        <v>1.057771456</v>
      </c>
      <c r="P24" s="10">
        <f t="shared" si="8"/>
        <v>12.72292922</v>
      </c>
      <c r="Q24" s="9">
        <f t="shared" si="9"/>
        <v>315.7007059</v>
      </c>
      <c r="R24" s="11">
        <f t="shared" si="10"/>
        <v>21.04671373</v>
      </c>
    </row>
    <row r="25" ht="15.75" customHeight="1">
      <c r="J25" s="7">
        <v>23.0</v>
      </c>
      <c r="K25" s="6">
        <f>(620675/123344)</f>
        <v>5.032064794</v>
      </c>
      <c r="L25" s="7" t="s">
        <v>33</v>
      </c>
      <c r="M25" s="6">
        <f>(631331/131886)</f>
        <v>4.786944786</v>
      </c>
      <c r="N25" s="12">
        <f t="shared" si="6"/>
        <v>4.90950479</v>
      </c>
      <c r="O25" s="9">
        <f t="shared" si="7"/>
        <v>0.1733260204</v>
      </c>
      <c r="P25" s="10">
        <f t="shared" si="8"/>
        <v>3.530417584</v>
      </c>
      <c r="Q25" s="9">
        <f t="shared" si="9"/>
        <v>172.4181309</v>
      </c>
      <c r="R25" s="11">
        <f t="shared" si="10"/>
        <v>11.49454206</v>
      </c>
    </row>
    <row r="26" ht="15.75" customHeight="1">
      <c r="J26" s="7">
        <v>24.0</v>
      </c>
      <c r="K26" s="6">
        <f>(780650/131121)</f>
        <v>5.953661122</v>
      </c>
      <c r="L26" s="7" t="s">
        <v>34</v>
      </c>
      <c r="M26" s="6">
        <f>(719225/146612)</f>
        <v>4.905635282</v>
      </c>
      <c r="N26" s="12">
        <f t="shared" si="6"/>
        <v>5.429648202</v>
      </c>
      <c r="O26" s="9">
        <f t="shared" si="7"/>
        <v>0.7410661783</v>
      </c>
      <c r="P26" s="10">
        <f t="shared" si="8"/>
        <v>13.64851185</v>
      </c>
      <c r="Q26" s="9">
        <f t="shared" si="9"/>
        <v>194.3096886</v>
      </c>
      <c r="R26" s="11">
        <f t="shared" si="10"/>
        <v>12.95397924</v>
      </c>
    </row>
    <row r="27" ht="15.75" customHeight="1">
      <c r="J27" s="7">
        <v>25.0</v>
      </c>
      <c r="K27" s="6">
        <f>(820398/218258)</f>
        <v>3.758845037</v>
      </c>
      <c r="L27" s="7" t="s">
        <v>35</v>
      </c>
      <c r="M27" s="6">
        <f>(548534/147152)</f>
        <v>3.727669349</v>
      </c>
      <c r="N27" s="12">
        <f t="shared" si="6"/>
        <v>3.743257193</v>
      </c>
      <c r="O27" s="9">
        <f t="shared" si="7"/>
        <v>0.02204454033</v>
      </c>
      <c r="P27" s="10">
        <f t="shared" si="8"/>
        <v>0.5889133232</v>
      </c>
      <c r="Q27" s="9">
        <f t="shared" si="9"/>
        <v>123.3336361</v>
      </c>
      <c r="R27" s="11">
        <f t="shared" si="10"/>
        <v>8.222242404</v>
      </c>
    </row>
    <row r="28" ht="15.75" customHeight="1">
      <c r="J28" s="7">
        <v>26.0</v>
      </c>
      <c r="K28" s="6">
        <f>(706063/118434)</f>
        <v>5.96165797</v>
      </c>
      <c r="L28" s="7" t="s">
        <v>36</v>
      </c>
      <c r="M28" s="6">
        <f>(655517/119087)</f>
        <v>5.504521904</v>
      </c>
      <c r="N28" s="12">
        <f t="shared" si="6"/>
        <v>5.733089937</v>
      </c>
      <c r="O28" s="9">
        <f t="shared" si="7"/>
        <v>0.323244012</v>
      </c>
      <c r="P28" s="10">
        <f t="shared" si="8"/>
        <v>5.638216311</v>
      </c>
      <c r="Q28" s="9">
        <f t="shared" si="9"/>
        <v>207.0808054</v>
      </c>
      <c r="R28" s="11">
        <f t="shared" si="10"/>
        <v>13.80538703</v>
      </c>
    </row>
    <row r="29" ht="15.75" customHeight="1">
      <c r="J29" s="7">
        <v>27.0</v>
      </c>
      <c r="K29" s="6">
        <f>(584480/145507)</f>
        <v>4.016851423</v>
      </c>
      <c r="L29" s="7" t="s">
        <v>37</v>
      </c>
      <c r="M29" s="6">
        <f>(596193/130600)</f>
        <v>4.565030628</v>
      </c>
      <c r="N29" s="12">
        <f t="shared" si="6"/>
        <v>4.290941025</v>
      </c>
      <c r="O29" s="9">
        <f t="shared" si="7"/>
        <v>0.3876212331</v>
      </c>
      <c r="P29" s="10">
        <f t="shared" si="8"/>
        <v>9.033478456</v>
      </c>
      <c r="Q29" s="9">
        <f t="shared" si="9"/>
        <v>146.3843024</v>
      </c>
      <c r="R29" s="11">
        <f t="shared" si="10"/>
        <v>9.758953494</v>
      </c>
    </row>
    <row r="30" ht="15.75" customHeight="1">
      <c r="J30" s="7">
        <v>28.0</v>
      </c>
      <c r="K30" s="6">
        <f>(398794/215239)</f>
        <v>1.852796194</v>
      </c>
      <c r="L30" s="7" t="s">
        <v>38</v>
      </c>
      <c r="M30" s="6">
        <f>(387897/172964)</f>
        <v>2.242645869</v>
      </c>
      <c r="N30" s="12">
        <f t="shared" si="6"/>
        <v>2.047721031</v>
      </c>
      <c r="O30" s="13">
        <f t="shared" si="7"/>
        <v>0.2756653485</v>
      </c>
      <c r="P30" s="10">
        <f t="shared" si="8"/>
        <v>13.46205583</v>
      </c>
      <c r="Q30" s="9">
        <f t="shared" si="9"/>
        <v>51.9726865</v>
      </c>
      <c r="R30" s="11">
        <f t="shared" si="10"/>
        <v>3.464845767</v>
      </c>
    </row>
    <row r="31" ht="15.75" customHeight="1">
      <c r="J31" s="7">
        <v>29.0</v>
      </c>
      <c r="K31" s="6">
        <f>(1049335/155888)</f>
        <v>6.731339167</v>
      </c>
      <c r="L31" s="7" t="s">
        <v>39</v>
      </c>
      <c r="M31" s="6">
        <f>(987330/166123)</f>
        <v>5.943367264</v>
      </c>
      <c r="N31" s="12">
        <f t="shared" si="6"/>
        <v>6.337353215</v>
      </c>
      <c r="O31" s="9">
        <f t="shared" si="7"/>
        <v>0.5571802757</v>
      </c>
      <c r="P31" s="10">
        <f t="shared" si="8"/>
        <v>8.792002856</v>
      </c>
      <c r="Q31" s="9">
        <f t="shared" si="9"/>
        <v>232.5127616</v>
      </c>
      <c r="R31" s="11">
        <f t="shared" si="10"/>
        <v>15.50085077</v>
      </c>
    </row>
    <row r="32" ht="15.75" customHeight="1">
      <c r="J32" s="7">
        <v>30.0</v>
      </c>
      <c r="K32" s="6">
        <f>(715449/107205)</f>
        <v>6.673653281</v>
      </c>
      <c r="L32" s="7" t="s">
        <v>40</v>
      </c>
      <c r="M32" s="6">
        <f>(714289/121744)</f>
        <v>5.867139243</v>
      </c>
      <c r="N32" s="12">
        <f t="shared" si="6"/>
        <v>6.270396262</v>
      </c>
      <c r="O32" s="9">
        <f t="shared" si="7"/>
        <v>0.5702915455</v>
      </c>
      <c r="P32" s="10">
        <f t="shared" si="8"/>
        <v>9.094984139</v>
      </c>
      <c r="Q32" s="9">
        <f t="shared" si="9"/>
        <v>229.694708</v>
      </c>
      <c r="R32" s="11">
        <f t="shared" si="10"/>
        <v>15.31298053</v>
      </c>
    </row>
    <row r="33" ht="15.75" customHeight="1">
      <c r="J33" s="7">
        <v>31.0</v>
      </c>
      <c r="K33" s="6">
        <f>(1410226/288193)</f>
        <v>4.893338839</v>
      </c>
      <c r="L33" s="7" t="s">
        <v>41</v>
      </c>
      <c r="M33" s="6">
        <f>(1134392/189977)</f>
        <v>5.971207041</v>
      </c>
      <c r="N33" s="12">
        <f t="shared" si="6"/>
        <v>5.43227294</v>
      </c>
      <c r="O33" s="9">
        <f t="shared" si="7"/>
        <v>0.7621679148</v>
      </c>
      <c r="P33" s="10">
        <f t="shared" si="8"/>
        <v>14.03036856</v>
      </c>
      <c r="Q33" s="9">
        <f t="shared" si="9"/>
        <v>194.4201574</v>
      </c>
      <c r="R33" s="11">
        <f t="shared" si="10"/>
        <v>12.96134383</v>
      </c>
    </row>
    <row r="34" ht="15.75" customHeight="1">
      <c r="J34" s="7">
        <v>32.0</v>
      </c>
      <c r="K34" s="6">
        <f>(1538094/141207)</f>
        <v>10.892477</v>
      </c>
      <c r="L34" s="7" t="s">
        <v>42</v>
      </c>
      <c r="M34" s="6">
        <f>(1419387/151235)</f>
        <v>9.385307634</v>
      </c>
      <c r="N34" s="12">
        <f t="shared" si="6"/>
        <v>10.13889232</v>
      </c>
      <c r="O34" s="9">
        <f t="shared" si="7"/>
        <v>1.065729681</v>
      </c>
      <c r="P34" s="10">
        <f t="shared" si="8"/>
        <v>10.51130288</v>
      </c>
      <c r="Q34" s="9">
        <f t="shared" si="9"/>
        <v>392.5101986</v>
      </c>
      <c r="R34" s="11">
        <f t="shared" si="10"/>
        <v>26.16734657</v>
      </c>
    </row>
    <row r="35" ht="15.75" customHeight="1">
      <c r="J35" s="7">
        <v>33.0</v>
      </c>
      <c r="K35" s="6">
        <f>(1097728/129329)</f>
        <v>8.487872016</v>
      </c>
      <c r="L35" s="7" t="s">
        <v>43</v>
      </c>
      <c r="M35" s="6">
        <f>(939578/125030)</f>
        <v>7.514820443</v>
      </c>
      <c r="N35" s="12">
        <f t="shared" si="6"/>
        <v>8.00134623</v>
      </c>
      <c r="O35" s="9">
        <f t="shared" si="7"/>
        <v>0.6880513659</v>
      </c>
      <c r="P35" s="10">
        <f t="shared" si="8"/>
        <v>8.599195012</v>
      </c>
      <c r="Q35" s="9">
        <f t="shared" si="9"/>
        <v>302.5461376</v>
      </c>
      <c r="R35" s="11">
        <f t="shared" si="10"/>
        <v>20.16974251</v>
      </c>
    </row>
    <row r="36" ht="15.75" customHeight="1">
      <c r="J36" s="7">
        <v>34.0</v>
      </c>
      <c r="K36" s="6">
        <f>(1131846/122358)</f>
        <v>9.250281959</v>
      </c>
      <c r="L36" s="7" t="s">
        <v>44</v>
      </c>
      <c r="M36" s="6">
        <f>(1105866/134609)</f>
        <v>8.215394216</v>
      </c>
      <c r="N36" s="12">
        <f t="shared" si="6"/>
        <v>8.732838088</v>
      </c>
      <c r="O36" s="9">
        <f t="shared" si="7"/>
        <v>0.7317761413</v>
      </c>
      <c r="P36" s="10">
        <f t="shared" si="8"/>
        <v>8.379591308</v>
      </c>
      <c r="Q36" s="9">
        <f t="shared" si="9"/>
        <v>333.332832</v>
      </c>
      <c r="R36" s="11">
        <f t="shared" si="10"/>
        <v>22.2221888</v>
      </c>
    </row>
    <row r="37" ht="15.75" customHeight="1">
      <c r="J37" s="7">
        <v>35.0</v>
      </c>
      <c r="K37" s="6">
        <f>(1530153/193462)</f>
        <v>7.909320693</v>
      </c>
      <c r="L37" s="7" t="s">
        <v>45</v>
      </c>
      <c r="M37" s="6">
        <f>(1230013/147551)</f>
        <v>8.336188843</v>
      </c>
      <c r="N37" s="12">
        <f t="shared" si="6"/>
        <v>8.122754768</v>
      </c>
      <c r="O37" s="9">
        <f t="shared" si="7"/>
        <v>0.3018413633</v>
      </c>
      <c r="P37" s="10">
        <f t="shared" si="8"/>
        <v>3.71599749</v>
      </c>
      <c r="Q37" s="9">
        <f t="shared" si="9"/>
        <v>307.6559246</v>
      </c>
      <c r="R37" s="11">
        <f t="shared" si="10"/>
        <v>20.51039497</v>
      </c>
    </row>
    <row r="38" ht="15.75" customHeight="1">
      <c r="J38" s="7">
        <v>36.0</v>
      </c>
      <c r="K38" s="6">
        <f>(3192209/257660)</f>
        <v>12.38922999</v>
      </c>
      <c r="L38" s="7" t="s">
        <v>46</v>
      </c>
      <c r="M38" s="6">
        <f>(1074242/105152)</f>
        <v>10.21608719</v>
      </c>
      <c r="N38" s="12">
        <f t="shared" si="6"/>
        <v>11.30265859</v>
      </c>
      <c r="O38" s="9">
        <f t="shared" si="7"/>
        <v>1.536644014</v>
      </c>
      <c r="P38" s="10">
        <f t="shared" si="8"/>
        <v>13.59542095</v>
      </c>
      <c r="Q38" s="9">
        <f t="shared" si="9"/>
        <v>441.4902605</v>
      </c>
      <c r="R38" s="11">
        <f t="shared" si="10"/>
        <v>29.43268404</v>
      </c>
    </row>
    <row r="39" ht="15.75" customHeight="1">
      <c r="J39" s="7">
        <v>37.0</v>
      </c>
      <c r="K39" s="6">
        <f>(721289/114257)</f>
        <v>6.312864857</v>
      </c>
      <c r="L39" s="7">
        <v>37.1</v>
      </c>
      <c r="M39" s="6">
        <f>(831821/146569)</f>
        <v>5.675286043</v>
      </c>
      <c r="N39" s="12">
        <f t="shared" si="6"/>
        <v>5.99407545</v>
      </c>
      <c r="O39" s="9">
        <f t="shared" si="7"/>
        <v>0.4508363033</v>
      </c>
      <c r="P39" s="10">
        <f t="shared" si="8"/>
        <v>7.521365172</v>
      </c>
      <c r="Q39" s="9">
        <f t="shared" si="9"/>
        <v>218.0650442</v>
      </c>
      <c r="R39" s="11">
        <f t="shared" si="10"/>
        <v>14.53766961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2025-11-04T00:27:33Z</dcterms:created>
  <dc:creator>Maria Eduarda Sacre</dc:creator>
</cp:coreProperties>
</file>