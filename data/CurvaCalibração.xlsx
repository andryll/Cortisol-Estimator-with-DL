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Eduarda\Downloads\"/>
    </mc:Choice>
  </mc:AlternateContent>
  <xr:revisionPtr revIDLastSave="0" documentId="13_ncr:1_{62236559-D388-4434-844E-540BA96C4104}" xr6:coauthVersionLast="47" xr6:coauthVersionMax="47" xr10:uidLastSave="{00000000-0000-0000-0000-000000000000}"/>
  <bookViews>
    <workbookView xWindow="-120" yWindow="-120" windowWidth="20730" windowHeight="11160" activeTab="1" xr2:uid="{4B94A1D0-3465-49B8-A1DA-A9BF35CFC67A}"/>
  </bookViews>
  <sheets>
    <sheet name="amostras" sheetId="1" r:id="rId1"/>
    <sheet name="curva analít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P39" i="1" s="1"/>
  <c r="N39" i="1"/>
  <c r="Q39" i="1" s="1"/>
  <c r="R39" i="1" s="1"/>
  <c r="M39" i="1"/>
  <c r="K39" i="1"/>
  <c r="N38" i="1"/>
  <c r="Q38" i="1" s="1"/>
  <c r="R38" i="1" s="1"/>
  <c r="M38" i="1"/>
  <c r="O38" i="1" s="1"/>
  <c r="P38" i="1" s="1"/>
  <c r="K38" i="1"/>
  <c r="M37" i="1"/>
  <c r="K37" i="1"/>
  <c r="O37" i="1" s="1"/>
  <c r="M36" i="1"/>
  <c r="K36" i="1"/>
  <c r="O36" i="1" s="1"/>
  <c r="O35" i="1"/>
  <c r="P35" i="1" s="1"/>
  <c r="N35" i="1"/>
  <c r="Q35" i="1" s="1"/>
  <c r="R35" i="1" s="1"/>
  <c r="M35" i="1"/>
  <c r="K35" i="1"/>
  <c r="N34" i="1"/>
  <c r="Q34" i="1" s="1"/>
  <c r="R34" i="1" s="1"/>
  <c r="M34" i="1"/>
  <c r="K34" i="1"/>
  <c r="O34" i="1" s="1"/>
  <c r="P34" i="1" s="1"/>
  <c r="M33" i="1"/>
  <c r="K33" i="1"/>
  <c r="O33" i="1" s="1"/>
  <c r="M32" i="1"/>
  <c r="K32" i="1"/>
  <c r="O32" i="1" s="1"/>
  <c r="O31" i="1"/>
  <c r="P31" i="1" s="1"/>
  <c r="N31" i="1"/>
  <c r="Q31" i="1" s="1"/>
  <c r="R31" i="1" s="1"/>
  <c r="M31" i="1"/>
  <c r="K31" i="1"/>
  <c r="N30" i="1"/>
  <c r="Q30" i="1" s="1"/>
  <c r="R30" i="1" s="1"/>
  <c r="M30" i="1"/>
  <c r="K30" i="1"/>
  <c r="O30" i="1" s="1"/>
  <c r="P30" i="1" s="1"/>
  <c r="M29" i="1"/>
  <c r="K29" i="1"/>
  <c r="O29" i="1" s="1"/>
  <c r="M28" i="1"/>
  <c r="K28" i="1"/>
  <c r="O28" i="1" s="1"/>
  <c r="O27" i="1"/>
  <c r="P27" i="1" s="1"/>
  <c r="N27" i="1"/>
  <c r="Q27" i="1" s="1"/>
  <c r="R27" i="1" s="1"/>
  <c r="M27" i="1"/>
  <c r="K27" i="1"/>
  <c r="N26" i="1"/>
  <c r="Q26" i="1" s="1"/>
  <c r="R26" i="1" s="1"/>
  <c r="M26" i="1"/>
  <c r="K26" i="1"/>
  <c r="O26" i="1" s="1"/>
  <c r="P26" i="1" s="1"/>
  <c r="M25" i="1"/>
  <c r="K25" i="1"/>
  <c r="O25" i="1" s="1"/>
  <c r="M24" i="1"/>
  <c r="K24" i="1"/>
  <c r="O24" i="1" s="1"/>
  <c r="O23" i="1"/>
  <c r="P23" i="1" s="1"/>
  <c r="N23" i="1"/>
  <c r="Q23" i="1" s="1"/>
  <c r="R23" i="1" s="1"/>
  <c r="M23" i="1"/>
  <c r="K23" i="1"/>
  <c r="N22" i="1"/>
  <c r="Q22" i="1" s="1"/>
  <c r="R22" i="1" s="1"/>
  <c r="M22" i="1"/>
  <c r="K22" i="1"/>
  <c r="O22" i="1" s="1"/>
  <c r="P22" i="1" s="1"/>
  <c r="M21" i="1"/>
  <c r="K21" i="1"/>
  <c r="O21" i="1" s="1"/>
  <c r="M20" i="1"/>
  <c r="K20" i="1"/>
  <c r="O20" i="1" s="1"/>
  <c r="O19" i="1"/>
  <c r="P19" i="1" s="1"/>
  <c r="M19" i="1"/>
  <c r="N19" i="1" s="1"/>
  <c r="Q19" i="1" s="1"/>
  <c r="R19" i="1" s="1"/>
  <c r="K19" i="1"/>
  <c r="N18" i="1"/>
  <c r="Q18" i="1" s="1"/>
  <c r="R18" i="1" s="1"/>
  <c r="M18" i="1"/>
  <c r="K18" i="1"/>
  <c r="O18" i="1" s="1"/>
  <c r="P18" i="1" s="1"/>
  <c r="M17" i="1"/>
  <c r="O17" i="1" s="1"/>
  <c r="P17" i="1" s="1"/>
  <c r="K17" i="1"/>
  <c r="N17" i="1" s="1"/>
  <c r="Q17" i="1" s="1"/>
  <c r="R17" i="1" s="1"/>
  <c r="M16" i="1"/>
  <c r="K16" i="1"/>
  <c r="O16" i="1" s="1"/>
  <c r="O15" i="1"/>
  <c r="P15" i="1" s="1"/>
  <c r="M15" i="1"/>
  <c r="N15" i="1" s="1"/>
  <c r="Q15" i="1" s="1"/>
  <c r="R15" i="1" s="1"/>
  <c r="K15" i="1"/>
  <c r="N14" i="1"/>
  <c r="Q14" i="1" s="1"/>
  <c r="R14" i="1" s="1"/>
  <c r="M14" i="1"/>
  <c r="K14" i="1"/>
  <c r="O14" i="1" s="1"/>
  <c r="P14" i="1" s="1"/>
  <c r="M13" i="1"/>
  <c r="K13" i="1"/>
  <c r="O13" i="1" s="1"/>
  <c r="M12" i="1"/>
  <c r="K12" i="1"/>
  <c r="O12" i="1" s="1"/>
  <c r="O11" i="1"/>
  <c r="P11" i="1" s="1"/>
  <c r="M11" i="1"/>
  <c r="N11" i="1" s="1"/>
  <c r="Q11" i="1" s="1"/>
  <c r="R11" i="1" s="1"/>
  <c r="K11" i="1"/>
  <c r="N10" i="1"/>
  <c r="Q10" i="1" s="1"/>
  <c r="R10" i="1" s="1"/>
  <c r="M10" i="1"/>
  <c r="K10" i="1"/>
  <c r="O10" i="1" s="1"/>
  <c r="P10" i="1" s="1"/>
  <c r="M9" i="1"/>
  <c r="K9" i="1"/>
  <c r="O9" i="1" s="1"/>
  <c r="M8" i="1"/>
  <c r="K8" i="1"/>
  <c r="O8" i="1" s="1"/>
  <c r="O7" i="1"/>
  <c r="M7" i="1"/>
  <c r="N7" i="1" s="1"/>
  <c r="Q7" i="1" s="1"/>
  <c r="R7" i="1" s="1"/>
  <c r="K7" i="1"/>
  <c r="N6" i="1"/>
  <c r="Q6" i="1" s="1"/>
  <c r="R6" i="1" s="1"/>
  <c r="M6" i="1"/>
  <c r="K6" i="1"/>
  <c r="O6" i="1" s="1"/>
  <c r="P6" i="1" s="1"/>
  <c r="M5" i="1"/>
  <c r="K5" i="1"/>
  <c r="O5" i="1" s="1"/>
  <c r="M4" i="1"/>
  <c r="K4" i="1"/>
  <c r="O4" i="1" s="1"/>
  <c r="O3" i="1"/>
  <c r="P3" i="1" s="1"/>
  <c r="M3" i="1"/>
  <c r="N3" i="1" s="1"/>
  <c r="Q3" i="1" s="1"/>
  <c r="R3" i="1" s="1"/>
  <c r="K3" i="1"/>
  <c r="N2" i="1"/>
  <c r="Q2" i="1" s="1"/>
  <c r="R2" i="1" s="1"/>
  <c r="M2" i="1"/>
  <c r="K2" i="1"/>
  <c r="O2" i="1" s="1"/>
  <c r="P2" i="1" s="1"/>
  <c r="C21" i="1"/>
  <c r="A21" i="1"/>
  <c r="D21" i="1" s="1"/>
  <c r="G21" i="1" s="1"/>
  <c r="H21" i="1" s="1"/>
  <c r="C20" i="1"/>
  <c r="A20" i="1"/>
  <c r="E20" i="1" s="1"/>
  <c r="E19" i="1"/>
  <c r="C19" i="1"/>
  <c r="A19" i="1"/>
  <c r="D19" i="1" s="1"/>
  <c r="G19" i="1" s="1"/>
  <c r="H19" i="1" s="1"/>
  <c r="E18" i="1"/>
  <c r="F18" i="1" s="1"/>
  <c r="D18" i="1"/>
  <c r="G18" i="1" s="1"/>
  <c r="H18" i="1" s="1"/>
  <c r="C18" i="1"/>
  <c r="A18" i="1"/>
  <c r="C17" i="1"/>
  <c r="D17" i="1" s="1"/>
  <c r="G17" i="1" s="1"/>
  <c r="H17" i="1" s="1"/>
  <c r="A17" i="1"/>
  <c r="E17" i="1" s="1"/>
  <c r="C16" i="1"/>
  <c r="A16" i="1"/>
  <c r="E16" i="1" s="1"/>
  <c r="E15" i="1"/>
  <c r="F15" i="1" s="1"/>
  <c r="C15" i="1"/>
  <c r="A15" i="1"/>
  <c r="D15" i="1" s="1"/>
  <c r="G15" i="1" s="1"/>
  <c r="H15" i="1" s="1"/>
  <c r="E14" i="1"/>
  <c r="F14" i="1" s="1"/>
  <c r="D14" i="1"/>
  <c r="G14" i="1" s="1"/>
  <c r="H14" i="1" s="1"/>
  <c r="C14" i="1"/>
  <c r="A14" i="1"/>
  <c r="C13" i="1"/>
  <c r="D13" i="1" s="1"/>
  <c r="G13" i="1" s="1"/>
  <c r="H13" i="1" s="1"/>
  <c r="A13" i="1"/>
  <c r="E13" i="1" s="1"/>
  <c r="F13" i="1" s="1"/>
  <c r="C12" i="1"/>
  <c r="A12" i="1"/>
  <c r="E12" i="1" s="1"/>
  <c r="E11" i="1"/>
  <c r="F11" i="1" s="1"/>
  <c r="C11" i="1"/>
  <c r="A11" i="1"/>
  <c r="D11" i="1" s="1"/>
  <c r="G11" i="1" s="1"/>
  <c r="H11" i="1" s="1"/>
  <c r="E10" i="1"/>
  <c r="F10" i="1" s="1"/>
  <c r="D10" i="1"/>
  <c r="G10" i="1" s="1"/>
  <c r="H10" i="1" s="1"/>
  <c r="C10" i="1"/>
  <c r="A10" i="1"/>
  <c r="C9" i="1"/>
  <c r="D9" i="1" s="1"/>
  <c r="G9" i="1" s="1"/>
  <c r="H9" i="1" s="1"/>
  <c r="A9" i="1"/>
  <c r="E9" i="1" s="1"/>
  <c r="F9" i="1" s="1"/>
  <c r="C8" i="1"/>
  <c r="A8" i="1"/>
  <c r="E8" i="1" s="1"/>
  <c r="E7" i="1"/>
  <c r="C7" i="1"/>
  <c r="A7" i="1"/>
  <c r="D7" i="1" s="1"/>
  <c r="G7" i="1" s="1"/>
  <c r="H7" i="1" s="1"/>
  <c r="E6" i="1"/>
  <c r="F6" i="1" s="1"/>
  <c r="D6" i="1"/>
  <c r="G6" i="1" s="1"/>
  <c r="H6" i="1" s="1"/>
  <c r="C6" i="1"/>
  <c r="A6" i="1"/>
  <c r="C5" i="1"/>
  <c r="D5" i="1" s="1"/>
  <c r="G5" i="1" s="1"/>
  <c r="H5" i="1" s="1"/>
  <c r="A5" i="1"/>
  <c r="E5" i="1" s="1"/>
  <c r="C4" i="1"/>
  <c r="A4" i="1"/>
  <c r="E4" i="1" s="1"/>
  <c r="E3" i="1"/>
  <c r="F3" i="1" s="1"/>
  <c r="C3" i="1"/>
  <c r="A3" i="1"/>
  <c r="D3" i="1" s="1"/>
  <c r="G3" i="1" s="1"/>
  <c r="H3" i="1" s="1"/>
  <c r="E2" i="1"/>
  <c r="F2" i="1" s="1"/>
  <c r="D2" i="1"/>
  <c r="G2" i="1" s="1"/>
  <c r="H2" i="1" s="1"/>
  <c r="C2" i="1"/>
  <c r="A2" i="1"/>
  <c r="P12" i="1" l="1"/>
  <c r="P7" i="1"/>
  <c r="P5" i="1"/>
  <c r="P21" i="1"/>
  <c r="N5" i="1"/>
  <c r="Q5" i="1" s="1"/>
  <c r="R5" i="1" s="1"/>
  <c r="N9" i="1"/>
  <c r="Q9" i="1" s="1"/>
  <c r="R9" i="1" s="1"/>
  <c r="N13" i="1"/>
  <c r="Q13" i="1" s="1"/>
  <c r="R13" i="1" s="1"/>
  <c r="N21" i="1"/>
  <c r="Q21" i="1" s="1"/>
  <c r="R21" i="1" s="1"/>
  <c r="N25" i="1"/>
  <c r="Q25" i="1" s="1"/>
  <c r="R25" i="1" s="1"/>
  <c r="N29" i="1"/>
  <c r="Q29" i="1" s="1"/>
  <c r="R29" i="1" s="1"/>
  <c r="N33" i="1"/>
  <c r="Q33" i="1" s="1"/>
  <c r="R33" i="1" s="1"/>
  <c r="N37" i="1"/>
  <c r="Q37" i="1" s="1"/>
  <c r="R37" i="1" s="1"/>
  <c r="N4" i="1"/>
  <c r="Q4" i="1" s="1"/>
  <c r="R4" i="1" s="1"/>
  <c r="N8" i="1"/>
  <c r="Q8" i="1" s="1"/>
  <c r="R8" i="1" s="1"/>
  <c r="N12" i="1"/>
  <c r="Q12" i="1" s="1"/>
  <c r="R12" i="1" s="1"/>
  <c r="N16" i="1"/>
  <c r="Q16" i="1" s="1"/>
  <c r="R16" i="1" s="1"/>
  <c r="N20" i="1"/>
  <c r="Q20" i="1" s="1"/>
  <c r="R20" i="1" s="1"/>
  <c r="N24" i="1"/>
  <c r="Q24" i="1" s="1"/>
  <c r="R24" i="1" s="1"/>
  <c r="N28" i="1"/>
  <c r="Q28" i="1" s="1"/>
  <c r="R28" i="1" s="1"/>
  <c r="N32" i="1"/>
  <c r="Q32" i="1" s="1"/>
  <c r="R32" i="1" s="1"/>
  <c r="N36" i="1"/>
  <c r="Q36" i="1" s="1"/>
  <c r="R36" i="1" s="1"/>
  <c r="F5" i="1"/>
  <c r="F7" i="1"/>
  <c r="F12" i="1"/>
  <c r="F17" i="1"/>
  <c r="F19" i="1"/>
  <c r="D4" i="1"/>
  <c r="G4" i="1" s="1"/>
  <c r="H4" i="1" s="1"/>
  <c r="D8" i="1"/>
  <c r="G8" i="1" s="1"/>
  <c r="H8" i="1" s="1"/>
  <c r="D12" i="1"/>
  <c r="G12" i="1" s="1"/>
  <c r="H12" i="1" s="1"/>
  <c r="D16" i="1"/>
  <c r="G16" i="1" s="1"/>
  <c r="H16" i="1" s="1"/>
  <c r="D20" i="1"/>
  <c r="G20" i="1" s="1"/>
  <c r="H20" i="1" s="1"/>
  <c r="E21" i="1"/>
  <c r="F21" i="1" s="1"/>
  <c r="P16" i="1" l="1"/>
  <c r="P24" i="1"/>
  <c r="P36" i="1"/>
  <c r="P9" i="1"/>
  <c r="P37" i="1"/>
  <c r="P13" i="1"/>
  <c r="P32" i="1"/>
  <c r="P29" i="1"/>
  <c r="P4" i="1"/>
  <c r="P28" i="1"/>
  <c r="P8" i="1"/>
  <c r="P25" i="1"/>
  <c r="P20" i="1"/>
  <c r="P33" i="1"/>
  <c r="F4" i="1"/>
  <c r="F8" i="1"/>
  <c r="F16" i="1"/>
  <c r="F20" i="1"/>
</calcChain>
</file>

<file path=xl/sharedStrings.xml><?xml version="1.0" encoding="utf-8"?>
<sst xmlns="http://schemas.openxmlformats.org/spreadsheetml/2006/main" count="88" uniqueCount="57">
  <si>
    <t>Área</t>
  </si>
  <si>
    <t>CT</t>
  </si>
  <si>
    <t>Média</t>
  </si>
  <si>
    <t>DP</t>
  </si>
  <si>
    <t>CV%</t>
  </si>
  <si>
    <t>pg/5mg</t>
  </si>
  <si>
    <t>pg/mg</t>
  </si>
  <si>
    <t>1.1</t>
  </si>
  <si>
    <t>2.1</t>
  </si>
  <si>
    <t>3.1</t>
  </si>
  <si>
    <t>4.1</t>
  </si>
  <si>
    <t>5.1</t>
  </si>
  <si>
    <t>6.1</t>
  </si>
  <si>
    <t>7.1</t>
  </si>
  <si>
    <t>8.1</t>
  </si>
  <si>
    <t>10.1</t>
  </si>
  <si>
    <t>11.1</t>
  </si>
  <si>
    <t>12.1</t>
  </si>
  <si>
    <t>13.1</t>
  </si>
  <si>
    <t>14.1</t>
  </si>
  <si>
    <t>15.1</t>
  </si>
  <si>
    <t>16.1</t>
  </si>
  <si>
    <t>17.1</t>
  </si>
  <si>
    <t>18.1</t>
  </si>
  <si>
    <t>19.1</t>
  </si>
  <si>
    <t>20.1</t>
  </si>
  <si>
    <t>21.1</t>
  </si>
  <si>
    <t>PG</t>
  </si>
  <si>
    <t>9.1</t>
  </si>
  <si>
    <t>18.1.1</t>
  </si>
  <si>
    <t>18.2</t>
  </si>
  <si>
    <t>18.2.1</t>
  </si>
  <si>
    <t>22.1</t>
  </si>
  <si>
    <t>23.1</t>
  </si>
  <si>
    <t>24.1</t>
  </si>
  <si>
    <t>25.1</t>
  </si>
  <si>
    <t>26.1</t>
  </si>
  <si>
    <t>27.1</t>
  </si>
  <si>
    <t>28.1</t>
  </si>
  <si>
    <t>29.1</t>
  </si>
  <si>
    <t>30.1</t>
  </si>
  <si>
    <t>31.1</t>
  </si>
  <si>
    <t>32.1</t>
  </si>
  <si>
    <t>33.1</t>
  </si>
  <si>
    <t>34.1</t>
  </si>
  <si>
    <t>35.1</t>
  </si>
  <si>
    <t>36.1</t>
  </si>
  <si>
    <t>Slope</t>
  </si>
  <si>
    <t>Intercept</t>
  </si>
  <si>
    <t>concentraçãopg/mg</t>
  </si>
  <si>
    <t>Adj. R-Square</t>
  </si>
  <si>
    <t>LD pg/mg</t>
  </si>
  <si>
    <t>LQ pg/mg</t>
  </si>
  <si>
    <t>Área M1</t>
  </si>
  <si>
    <t>Área M2</t>
  </si>
  <si>
    <t>Área M3</t>
  </si>
  <si>
    <t>Área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</si>
</sst>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43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1" fontId="0" fillId="4" borderId="0" xfId="0" applyNumberFormat="1" applyFill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1" fontId="2" fillId="4" borderId="0" xfId="0" applyNumberFormat="1" applyFont="1" applyFill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2" xfId="0" applyFont="1" applyFill="1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164" fontId="1" fillId="4" borderId="0" xfId="0" applyNumberFormat="1" applyFont="1" applyFill="1"/>
    <xf numFmtId="0" fontId="1" fillId="6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3" borderId="11" xfId="0" applyFont="1" applyFill="1" applyBorder="1" applyAlignment="1">
      <alignment horizontal="center"/>
    </xf>
    <xf numFmtId="0" fontId="0" fillId="0" borderId="12" xfId="0" applyBorder="1"/>
    <xf numFmtId="0" fontId="1" fillId="9" borderId="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BBBD-3010-4FAD-A158-4E5730BAF957}">
  <dimension ref="A1:R39"/>
  <sheetViews>
    <sheetView workbookViewId="0">
      <selection activeCell="T5" sqref="T5"/>
    </sheetView>
  </sheetViews>
  <sheetFormatPr defaultRowHeight="15" x14ac:dyDescent="0.25"/>
  <sheetData>
    <row r="1" spans="1:18" ht="15.75" thickBot="1" x14ac:dyDescent="0.3">
      <c r="A1" s="1" t="s">
        <v>0</v>
      </c>
      <c r="B1" s="1" t="s">
        <v>1</v>
      </c>
      <c r="C1" s="1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 s="12" t="s">
        <v>27</v>
      </c>
      <c r="K1" s="12" t="s">
        <v>0</v>
      </c>
      <c r="L1" s="13" t="s">
        <v>27</v>
      </c>
      <c r="M1" s="12" t="s">
        <v>0</v>
      </c>
      <c r="N1" s="14" t="s">
        <v>2</v>
      </c>
      <c r="O1" s="14" t="s">
        <v>3</v>
      </c>
      <c r="P1" s="14" t="s">
        <v>4</v>
      </c>
      <c r="Q1" s="14" t="s">
        <v>5</v>
      </c>
      <c r="R1" s="14" t="s">
        <v>6</v>
      </c>
    </row>
    <row r="2" spans="1:18" x14ac:dyDescent="0.25">
      <c r="A2" s="3">
        <f>(550217/238923)</f>
        <v>2.3029051200596009</v>
      </c>
      <c r="B2" s="4" t="s">
        <v>7</v>
      </c>
      <c r="C2" s="3">
        <f>(475285/167849)</f>
        <v>2.8316224701964265</v>
      </c>
      <c r="D2" s="5">
        <f>AVERAGE(A2,C2)</f>
        <v>2.5672637951280137</v>
      </c>
      <c r="E2">
        <f>STDEV(A2,C2)</f>
        <v>0.37385962361273067</v>
      </c>
      <c r="F2" s="6">
        <f>(E2/D2)*100</f>
        <v>14.562571416393483</v>
      </c>
      <c r="G2">
        <f>(D2-0.81285)/0.02376</f>
        <v>73.838964441414717</v>
      </c>
      <c r="H2" s="17">
        <f>(G2/5)/3</f>
        <v>4.9225976294276483</v>
      </c>
      <c r="J2" s="8">
        <v>1</v>
      </c>
      <c r="K2" s="7">
        <f>(1201849/164080)</f>
        <v>7.3247745002437838</v>
      </c>
      <c r="L2" s="8" t="s">
        <v>7</v>
      </c>
      <c r="M2" s="7">
        <f>(905776/113083)</f>
        <v>8.0098334851392341</v>
      </c>
      <c r="N2" s="15">
        <f>AVERAGE(K2,M2)</f>
        <v>7.667303992691509</v>
      </c>
      <c r="O2" s="10">
        <f>STDEV(K2,M2)</f>
        <v>0.48440985373234552</v>
      </c>
      <c r="P2" s="11">
        <f>(O2/N2)*100</f>
        <v>6.3178641957340691</v>
      </c>
      <c r="Q2">
        <f>(N2-0.81285)/0.02376</f>
        <v>288.48712090452477</v>
      </c>
      <c r="R2" s="17">
        <f>(Q2/5)/3</f>
        <v>19.232474726968317</v>
      </c>
    </row>
    <row r="3" spans="1:18" x14ac:dyDescent="0.25">
      <c r="A3" s="3">
        <f>(646981/117285)</f>
        <v>5.5163149592872065</v>
      </c>
      <c r="B3" s="4" t="s">
        <v>8</v>
      </c>
      <c r="C3" s="3">
        <f>(602780/109702)</f>
        <v>5.4947038340230803</v>
      </c>
      <c r="D3" s="5">
        <f t="shared" ref="D3:D21" si="0">AVERAGE(A3,C3)</f>
        <v>5.5055093966551434</v>
      </c>
      <c r="E3">
        <f t="shared" ref="E3:E21" si="1">STDEV(A3,C3)</f>
        <v>1.5281373223335575E-2</v>
      </c>
      <c r="F3" s="6">
        <f t="shared" ref="F3:F21" si="2">(E3/D3)*100</f>
        <v>0.27756511018979879</v>
      </c>
      <c r="G3">
        <f t="shared" ref="G3:G21" si="3">(D3-0.81285)/0.02376</f>
        <v>197.50249985922321</v>
      </c>
      <c r="H3" s="17">
        <f t="shared" ref="H3:H21" si="4">(G3/5)/3</f>
        <v>13.166833323948213</v>
      </c>
      <c r="J3" s="8">
        <v>2</v>
      </c>
      <c r="K3" s="7">
        <f>(1425023/147574)</f>
        <v>9.6563283505224504</v>
      </c>
      <c r="L3" s="8" t="s">
        <v>8</v>
      </c>
      <c r="M3" s="7">
        <f>(1563236/147017)</f>
        <v>10.633028833400219</v>
      </c>
      <c r="N3" s="15">
        <f>AVERAGE(K3,M3)</f>
        <v>10.144678591961334</v>
      </c>
      <c r="O3">
        <f t="shared" ref="O3:O39" si="5">STDEV(K3,M3)</f>
        <v>0.69063153463104587</v>
      </c>
      <c r="P3" s="11">
        <f t="shared" ref="P3:P39" si="6">(O3/N3)*100</f>
        <v>6.80782075420609</v>
      </c>
      <c r="Q3">
        <f t="shared" ref="Q3:Q39" si="7">(N3-0.81285)/0.02376</f>
        <v>392.75372861790129</v>
      </c>
      <c r="R3" s="17">
        <f t="shared" ref="R3:R39" si="8">(Q3/5)/3</f>
        <v>26.183581907860088</v>
      </c>
    </row>
    <row r="4" spans="1:18" x14ac:dyDescent="0.25">
      <c r="A4" s="3">
        <f>(777819/179251)</f>
        <v>4.3392728631918374</v>
      </c>
      <c r="B4" s="4" t="s">
        <v>9</v>
      </c>
      <c r="C4" s="3">
        <f>(1647577/461112)</f>
        <v>3.573051666406426</v>
      </c>
      <c r="D4" s="5">
        <f t="shared" si="0"/>
        <v>3.9561622647991319</v>
      </c>
      <c r="E4">
        <f t="shared" si="1"/>
        <v>0.54180020413583641</v>
      </c>
      <c r="F4" s="6">
        <f t="shared" si="2"/>
        <v>13.695095596978641</v>
      </c>
      <c r="G4">
        <f t="shared" si="3"/>
        <v>132.29428723902069</v>
      </c>
      <c r="H4" s="17">
        <f t="shared" si="4"/>
        <v>8.8196191492680462</v>
      </c>
      <c r="J4" s="4">
        <v>3</v>
      </c>
      <c r="K4" s="3">
        <f>(2115514/132459)</f>
        <v>15.971085392461063</v>
      </c>
      <c r="L4" s="4" t="s">
        <v>9</v>
      </c>
      <c r="M4" s="3">
        <f>(1080333/80764)</f>
        <v>13.376417710861276</v>
      </c>
      <c r="N4" s="15">
        <f t="shared" ref="N4:N39" si="9">AVERAGE(K4,M4)</f>
        <v>14.673751551661169</v>
      </c>
      <c r="O4">
        <f t="shared" si="5"/>
        <v>1.8347071125847876</v>
      </c>
      <c r="P4" s="11">
        <f t="shared" si="6"/>
        <v>12.503326815405199</v>
      </c>
      <c r="Q4">
        <f t="shared" si="7"/>
        <v>583.37127742681696</v>
      </c>
      <c r="R4" s="17">
        <f t="shared" si="8"/>
        <v>38.89141849512113</v>
      </c>
    </row>
    <row r="5" spans="1:18" x14ac:dyDescent="0.25">
      <c r="A5" s="3">
        <f>(570759/174101)</f>
        <v>3.2783212043583898</v>
      </c>
      <c r="B5" s="4" t="s">
        <v>10</v>
      </c>
      <c r="C5" s="3">
        <f>(549939/176140)</f>
        <v>3.1221698648802088</v>
      </c>
      <c r="D5" s="5">
        <f t="shared" si="0"/>
        <v>3.2002455346192993</v>
      </c>
      <c r="E5">
        <f t="shared" si="1"/>
        <v>0.11041567103638447</v>
      </c>
      <c r="F5" s="6">
        <f t="shared" si="2"/>
        <v>3.4502249856125338</v>
      </c>
      <c r="G5">
        <f t="shared" si="3"/>
        <v>100.47961004289979</v>
      </c>
      <c r="H5" s="17">
        <f t="shared" si="4"/>
        <v>6.6986406695266529</v>
      </c>
      <c r="J5" s="4">
        <v>4</v>
      </c>
      <c r="K5" s="3">
        <f>(1499724/155329)</f>
        <v>9.6551448860161333</v>
      </c>
      <c r="L5" s="4" t="s">
        <v>10</v>
      </c>
      <c r="M5" s="3">
        <f>(1569920/137298)</f>
        <v>11.434398170403066</v>
      </c>
      <c r="N5" s="15">
        <f t="shared" si="9"/>
        <v>10.5447715282096</v>
      </c>
      <c r="O5">
        <f t="shared" si="5"/>
        <v>1.2581220628384366</v>
      </c>
      <c r="P5" s="11">
        <f t="shared" si="6"/>
        <v>11.931240610312717</v>
      </c>
      <c r="Q5">
        <f t="shared" si="7"/>
        <v>409.59265691117849</v>
      </c>
      <c r="R5" s="17">
        <f t="shared" si="8"/>
        <v>27.3061771274119</v>
      </c>
    </row>
    <row r="6" spans="1:18" x14ac:dyDescent="0.25">
      <c r="A6" s="3">
        <f>(232266/161046)</f>
        <v>1.4422338959055176</v>
      </c>
      <c r="B6" s="4" t="s">
        <v>11</v>
      </c>
      <c r="C6" s="3">
        <f>(277883/301506)</f>
        <v>0.92164998374825047</v>
      </c>
      <c r="D6" s="5">
        <f t="shared" si="0"/>
        <v>1.181941939826884</v>
      </c>
      <c r="E6">
        <f t="shared" si="1"/>
        <v>0.36810841446302595</v>
      </c>
      <c r="F6" s="6">
        <f t="shared" si="2"/>
        <v>31.144373683612734</v>
      </c>
      <c r="G6">
        <f t="shared" si="3"/>
        <v>15.534172551636534</v>
      </c>
      <c r="H6" s="17">
        <f t="shared" si="4"/>
        <v>1.0356115034424356</v>
      </c>
      <c r="J6" s="4">
        <v>5</v>
      </c>
      <c r="K6" s="3">
        <f>(292483/126442)</f>
        <v>2.31317916515082</v>
      </c>
      <c r="L6" s="4" t="s">
        <v>11</v>
      </c>
      <c r="M6" s="3">
        <f>(290750/120928)</f>
        <v>2.4043232336596985</v>
      </c>
      <c r="N6" s="15">
        <f t="shared" si="9"/>
        <v>2.3587511994052592</v>
      </c>
      <c r="O6">
        <f t="shared" si="5"/>
        <v>6.4448588907559223E-2</v>
      </c>
      <c r="P6" s="11">
        <f t="shared" si="6"/>
        <v>2.7323182251612392</v>
      </c>
      <c r="Q6">
        <f t="shared" si="7"/>
        <v>65.063181793150633</v>
      </c>
      <c r="R6" s="17">
        <f t="shared" si="8"/>
        <v>4.337545452876709</v>
      </c>
    </row>
    <row r="7" spans="1:18" x14ac:dyDescent="0.25">
      <c r="A7" s="3">
        <f>(272182/139004)</f>
        <v>1.9580875370492936</v>
      </c>
      <c r="B7" s="4" t="s">
        <v>12</v>
      </c>
      <c r="C7" s="3">
        <f>(227525/138961)</f>
        <v>1.6373298983167939</v>
      </c>
      <c r="D7" s="5">
        <f t="shared" si="0"/>
        <v>1.7977087176830437</v>
      </c>
      <c r="E7">
        <f t="shared" si="1"/>
        <v>0.22680990146513536</v>
      </c>
      <c r="F7" s="6">
        <f t="shared" si="2"/>
        <v>12.616610201315412</v>
      </c>
      <c r="G7">
        <f t="shared" si="3"/>
        <v>41.450282730767839</v>
      </c>
      <c r="H7" s="17">
        <f t="shared" si="4"/>
        <v>2.7633521820511895</v>
      </c>
      <c r="J7" s="4">
        <v>6</v>
      </c>
      <c r="K7" s="3">
        <f>(1502709/179364)</f>
        <v>8.377985548939586</v>
      </c>
      <c r="L7" s="4" t="s">
        <v>12</v>
      </c>
      <c r="M7" s="3">
        <f>(1567691/220605)</f>
        <v>7.1063257859069378</v>
      </c>
      <c r="N7" s="15">
        <f t="shared" si="9"/>
        <v>7.7421556674232619</v>
      </c>
      <c r="O7">
        <f t="shared" si="5"/>
        <v>0.89919924180246369</v>
      </c>
      <c r="P7" s="11">
        <f t="shared" si="6"/>
        <v>11.614326557473294</v>
      </c>
      <c r="Q7">
        <f t="shared" si="7"/>
        <v>291.63744391512046</v>
      </c>
      <c r="R7" s="17">
        <f t="shared" si="8"/>
        <v>19.442496261008031</v>
      </c>
    </row>
    <row r="8" spans="1:18" x14ac:dyDescent="0.25">
      <c r="A8" s="7">
        <f>(670996/224122)</f>
        <v>2.9938872578327875</v>
      </c>
      <c r="B8" s="8" t="s">
        <v>13</v>
      </c>
      <c r="C8" s="7">
        <f>(694238/288852)</f>
        <v>2.4034384390622185</v>
      </c>
      <c r="D8" s="5">
        <f t="shared" si="0"/>
        <v>2.698662848447503</v>
      </c>
      <c r="E8">
        <f t="shared" si="1"/>
        <v>0.41751036369625405</v>
      </c>
      <c r="F8" s="6">
        <f t="shared" si="2"/>
        <v>15.47100868626257</v>
      </c>
      <c r="G8">
        <f t="shared" si="3"/>
        <v>79.36922762826191</v>
      </c>
      <c r="H8" s="17">
        <f t="shared" si="4"/>
        <v>5.2912818418841274</v>
      </c>
      <c r="J8" s="8">
        <v>7</v>
      </c>
      <c r="K8" s="3">
        <f>(2402829/198256)</f>
        <v>12.119829916875151</v>
      </c>
      <c r="L8" s="4" t="s">
        <v>13</v>
      </c>
      <c r="M8" s="7">
        <f>(5193217/358391)</f>
        <v>14.490366666573658</v>
      </c>
      <c r="N8" s="15">
        <f t="shared" si="9"/>
        <v>13.305098291724406</v>
      </c>
      <c r="O8">
        <f t="shared" si="5"/>
        <v>1.6762226107637319</v>
      </c>
      <c r="P8" s="11">
        <f t="shared" si="6"/>
        <v>12.598348197144249</v>
      </c>
      <c r="Q8">
        <f t="shared" si="7"/>
        <v>525.76802574597673</v>
      </c>
      <c r="R8" s="17">
        <f t="shared" si="8"/>
        <v>35.051201716398445</v>
      </c>
    </row>
    <row r="9" spans="1:18" x14ac:dyDescent="0.25">
      <c r="A9" s="7">
        <f>(521129/210375)</f>
        <v>2.4771431966726083</v>
      </c>
      <c r="B9" s="8" t="s">
        <v>14</v>
      </c>
      <c r="C9" s="7">
        <f>(532025/231218)</f>
        <v>2.3009670527381085</v>
      </c>
      <c r="D9" s="5">
        <f t="shared" si="0"/>
        <v>2.3890551247053584</v>
      </c>
      <c r="E9">
        <f t="shared" si="1"/>
        <v>0.12457534605938202</v>
      </c>
      <c r="F9" s="6">
        <f t="shared" si="2"/>
        <v>5.2144190718389503</v>
      </c>
      <c r="G9">
        <f t="shared" si="3"/>
        <v>66.338599524636294</v>
      </c>
      <c r="H9" s="17">
        <f t="shared" si="4"/>
        <v>4.4225733016424194</v>
      </c>
      <c r="J9" s="8">
        <v>8</v>
      </c>
      <c r="K9" s="7">
        <f>(895364/120542)</f>
        <v>7.4278176900997162</v>
      </c>
      <c r="L9" s="8" t="s">
        <v>14</v>
      </c>
      <c r="M9" s="7">
        <f>(980270/123030)</f>
        <v>7.967731447614403</v>
      </c>
      <c r="N9" s="15">
        <f t="shared" si="9"/>
        <v>7.69777456885706</v>
      </c>
      <c r="O9" s="10">
        <f>STDEV(K9,M9)</f>
        <v>0.38177667919454433</v>
      </c>
      <c r="P9" s="11">
        <f t="shared" si="6"/>
        <v>4.9595720916419257</v>
      </c>
      <c r="Q9">
        <f t="shared" si="7"/>
        <v>289.76955256132408</v>
      </c>
      <c r="R9" s="17">
        <f t="shared" si="8"/>
        <v>19.317970170754936</v>
      </c>
    </row>
    <row r="10" spans="1:18" x14ac:dyDescent="0.25">
      <c r="A10" s="3">
        <f>(995109/380467)</f>
        <v>2.6154935907713415</v>
      </c>
      <c r="B10" s="4" t="s">
        <v>15</v>
      </c>
      <c r="C10" s="3">
        <f>(962060/314530)</f>
        <v>3.0587225383906147</v>
      </c>
      <c r="D10" s="5">
        <f t="shared" si="0"/>
        <v>2.8371080645809781</v>
      </c>
      <c r="E10">
        <f t="shared" si="1"/>
        <v>0.31341019447976515</v>
      </c>
      <c r="F10" s="6">
        <f t="shared" si="2"/>
        <v>11.046819061721349</v>
      </c>
      <c r="G10">
        <f t="shared" si="3"/>
        <v>85.196046489098407</v>
      </c>
      <c r="H10" s="17">
        <f t="shared" si="4"/>
        <v>5.6797364326065605</v>
      </c>
      <c r="J10" s="4">
        <v>9</v>
      </c>
      <c r="K10" s="3">
        <f>(1477627/135518)</f>
        <v>10.903547868179873</v>
      </c>
      <c r="L10" s="4" t="s">
        <v>28</v>
      </c>
      <c r="M10" s="3">
        <f>(1451981/108306)</f>
        <v>13.406284047051871</v>
      </c>
      <c r="N10" s="15">
        <f>AVERAGE(K10,M10)</f>
        <v>12.154915957615872</v>
      </c>
      <c r="O10">
        <f>STDEV(K10,M10)</f>
        <v>1.7697017236012882</v>
      </c>
      <c r="P10" s="11">
        <f t="shared" si="6"/>
        <v>14.559555407641064</v>
      </c>
      <c r="Q10">
        <f t="shared" si="7"/>
        <v>477.35967835083642</v>
      </c>
      <c r="R10" s="17">
        <f>(Q10/5)/3</f>
        <v>31.823978556722427</v>
      </c>
    </row>
    <row r="11" spans="1:18" x14ac:dyDescent="0.25">
      <c r="A11" s="3">
        <f>(1032794/183872)</f>
        <v>5.6169182909850335</v>
      </c>
      <c r="B11" s="4" t="s">
        <v>16</v>
      </c>
      <c r="C11" s="3">
        <f>(1005146/165119)</f>
        <v>6.0874036301091943</v>
      </c>
      <c r="D11" s="5">
        <f t="shared" si="0"/>
        <v>5.8521609605471134</v>
      </c>
      <c r="E11">
        <f t="shared" si="1"/>
        <v>0.33268337374354656</v>
      </c>
      <c r="F11" s="6">
        <f t="shared" si="2"/>
        <v>5.6847953428889335</v>
      </c>
      <c r="G11">
        <f t="shared" si="3"/>
        <v>212.09221214423877</v>
      </c>
      <c r="H11" s="17">
        <f t="shared" si="4"/>
        <v>14.139480809615918</v>
      </c>
      <c r="J11" s="4">
        <v>10</v>
      </c>
      <c r="K11" s="3">
        <f>(1559151/121301)</f>
        <v>12.853570869160189</v>
      </c>
      <c r="L11" s="4" t="s">
        <v>15</v>
      </c>
      <c r="M11" s="3">
        <f>(1817047/116958)</f>
        <v>15.535893226628362</v>
      </c>
      <c r="N11" s="15">
        <f>AVERAGE(K11,M11)</f>
        <v>14.194732047894275</v>
      </c>
      <c r="O11">
        <f>STDEV(K11,M11)</f>
        <v>1.8966883282940319</v>
      </c>
      <c r="P11" s="11">
        <f t="shared" si="6"/>
        <v>13.36191709638786</v>
      </c>
      <c r="Q11">
        <f t="shared" si="7"/>
        <v>563.2105239012742</v>
      </c>
      <c r="R11" s="17">
        <f t="shared" si="8"/>
        <v>37.547368260084944</v>
      </c>
    </row>
    <row r="12" spans="1:18" x14ac:dyDescent="0.25">
      <c r="A12" s="3">
        <f>(862369/208638)</f>
        <v>4.1333266231463108</v>
      </c>
      <c r="B12" s="4" t="s">
        <v>17</v>
      </c>
      <c r="C12" s="3">
        <f>(857270/185136)</f>
        <v>4.6304878575749715</v>
      </c>
      <c r="D12" s="5">
        <f t="shared" si="0"/>
        <v>4.3819072403606416</v>
      </c>
      <c r="E12">
        <f t="shared" si="1"/>
        <v>0.35154608020758082</v>
      </c>
      <c r="F12" s="6">
        <f t="shared" si="2"/>
        <v>8.0226727980359467</v>
      </c>
      <c r="G12">
        <f t="shared" si="3"/>
        <v>150.21284681652531</v>
      </c>
      <c r="H12" s="17">
        <f t="shared" si="4"/>
        <v>10.014189787768354</v>
      </c>
      <c r="J12" s="8">
        <v>11</v>
      </c>
      <c r="K12" s="7">
        <f>(943883/134640)</f>
        <v>7.0104203802733212</v>
      </c>
      <c r="L12" s="8" t="s">
        <v>16</v>
      </c>
      <c r="M12" s="7">
        <f>(932325/122191)</f>
        <v>7.6300627705804844</v>
      </c>
      <c r="N12" s="15">
        <f t="shared" si="9"/>
        <v>7.3202415754269028</v>
      </c>
      <c r="O12" s="10">
        <f t="shared" si="5"/>
        <v>0.4381533360968366</v>
      </c>
      <c r="P12" s="11">
        <f t="shared" si="6"/>
        <v>5.9855037785591705</v>
      </c>
      <c r="Q12">
        <f t="shared" si="7"/>
        <v>273.8801168108966</v>
      </c>
      <c r="R12" s="17">
        <f t="shared" si="8"/>
        <v>18.258674454059772</v>
      </c>
    </row>
    <row r="13" spans="1:18" x14ac:dyDescent="0.25">
      <c r="A13" s="7">
        <f>(539906/209577)</f>
        <v>2.5761700950008826</v>
      </c>
      <c r="B13" s="8" t="s">
        <v>18</v>
      </c>
      <c r="C13" s="7">
        <f>(546530/210165)</f>
        <v>2.6004805747864772</v>
      </c>
      <c r="D13" s="9">
        <f t="shared" si="0"/>
        <v>2.5883253348936801</v>
      </c>
      <c r="E13" s="10">
        <f t="shared" si="1"/>
        <v>1.7190105110292456E-2</v>
      </c>
      <c r="F13" s="11">
        <f t="shared" si="2"/>
        <v>0.66414004756471501</v>
      </c>
      <c r="G13">
        <f t="shared" si="3"/>
        <v>74.725392882730645</v>
      </c>
      <c r="H13" s="17">
        <f t="shared" si="4"/>
        <v>4.9816928588487093</v>
      </c>
      <c r="J13" s="4">
        <v>12</v>
      </c>
      <c r="K13" s="3">
        <f>(3401631/196674)</f>
        <v>17.295783886024587</v>
      </c>
      <c r="L13" s="4" t="s">
        <v>17</v>
      </c>
      <c r="M13" s="3">
        <f>(1711986/122505)</f>
        <v>13.974825517325824</v>
      </c>
      <c r="N13" s="15">
        <f>AVERAGE(K13,M13)</f>
        <v>15.635304701675206</v>
      </c>
      <c r="O13">
        <f>STDEV(K13,M13)</f>
        <v>2.3482721825451027</v>
      </c>
      <c r="P13" s="11">
        <f t="shared" si="6"/>
        <v>15.019036899827753</v>
      </c>
      <c r="Q13">
        <f t="shared" si="7"/>
        <v>623.84068609744133</v>
      </c>
      <c r="R13" s="17">
        <f t="shared" si="8"/>
        <v>41.589379073162753</v>
      </c>
    </row>
    <row r="14" spans="1:18" x14ac:dyDescent="0.25">
      <c r="A14" s="3">
        <f>(513370/195742)</f>
        <v>2.6226870063655219</v>
      </c>
      <c r="B14" s="4" t="s">
        <v>19</v>
      </c>
      <c r="C14" s="3">
        <f>(521980/191841)</f>
        <v>2.7208990778822044</v>
      </c>
      <c r="D14" s="5">
        <f t="shared" si="0"/>
        <v>2.6717930421238631</v>
      </c>
      <c r="E14">
        <f t="shared" si="1"/>
        <v>6.9446421763824401E-2</v>
      </c>
      <c r="F14" s="6">
        <f t="shared" si="2"/>
        <v>2.5992440532976318</v>
      </c>
      <c r="G14">
        <f t="shared" si="3"/>
        <v>78.238343523731615</v>
      </c>
      <c r="H14" s="17">
        <f t="shared" si="4"/>
        <v>5.215889568248774</v>
      </c>
      <c r="J14" s="4">
        <v>13</v>
      </c>
      <c r="K14" s="3">
        <f>(285753/102282)</f>
        <v>2.7937760309731918</v>
      </c>
      <c r="L14" s="4" t="s">
        <v>18</v>
      </c>
      <c r="M14" s="3">
        <f>(202755/58399)</f>
        <v>3.4718916419801711</v>
      </c>
      <c r="N14" s="15">
        <f>AVERAGE(K14,M14)</f>
        <v>3.1328338364766815</v>
      </c>
      <c r="O14">
        <f>STDEV(K14,M14)</f>
        <v>0.47950014697149612</v>
      </c>
      <c r="P14" s="11">
        <f t="shared" si="6"/>
        <v>15.305636110939174</v>
      </c>
      <c r="Q14">
        <f t="shared" si="7"/>
        <v>97.642417360129684</v>
      </c>
      <c r="R14" s="17">
        <f t="shared" si="8"/>
        <v>6.5094944906753121</v>
      </c>
    </row>
    <row r="15" spans="1:18" x14ac:dyDescent="0.25">
      <c r="A15" s="3">
        <f>(900408/154066)</f>
        <v>5.8443004945932264</v>
      </c>
      <c r="B15" s="4" t="s">
        <v>20</v>
      </c>
      <c r="C15" s="3">
        <f>(820832/152707)</f>
        <v>5.375208733063972</v>
      </c>
      <c r="D15" s="5">
        <f t="shared" si="0"/>
        <v>5.6097546138285992</v>
      </c>
      <c r="E15">
        <f t="shared" si="1"/>
        <v>0.33169796557607867</v>
      </c>
      <c r="F15" s="6">
        <f t="shared" si="2"/>
        <v>5.9128783415661434</v>
      </c>
      <c r="G15">
        <f t="shared" si="3"/>
        <v>201.88992482443598</v>
      </c>
      <c r="H15" s="17">
        <f t="shared" si="4"/>
        <v>13.459328321629066</v>
      </c>
      <c r="J15" s="8">
        <v>14</v>
      </c>
      <c r="K15" s="7">
        <f>(1020394/138984)</f>
        <v>7.3418091291083867</v>
      </c>
      <c r="L15" s="8" t="s">
        <v>19</v>
      </c>
      <c r="M15" s="7">
        <f>(889933/131337)</f>
        <v>6.7759504176279339</v>
      </c>
      <c r="N15" s="15">
        <f t="shared" si="9"/>
        <v>7.0588797733681599</v>
      </c>
      <c r="O15">
        <f t="shared" si="5"/>
        <v>0.40012253208131027</v>
      </c>
      <c r="P15" s="11">
        <f t="shared" si="6"/>
        <v>5.6683573729488659</v>
      </c>
      <c r="Q15">
        <f t="shared" si="7"/>
        <v>262.88004096667339</v>
      </c>
      <c r="R15" s="17">
        <f t="shared" si="8"/>
        <v>17.525336064444893</v>
      </c>
    </row>
    <row r="16" spans="1:18" x14ac:dyDescent="0.25">
      <c r="A16" s="3">
        <f>(531987/171862)</f>
        <v>3.0954312180703121</v>
      </c>
      <c r="B16" s="4" t="s">
        <v>21</v>
      </c>
      <c r="C16" s="3">
        <f>(567367/149690)</f>
        <v>3.7902799118177568</v>
      </c>
      <c r="D16" s="5">
        <f t="shared" si="0"/>
        <v>3.4428555649440344</v>
      </c>
      <c r="E16">
        <f t="shared" si="1"/>
        <v>0.4913322232474357</v>
      </c>
      <c r="F16" s="6">
        <f t="shared" si="2"/>
        <v>14.271066966918275</v>
      </c>
      <c r="G16">
        <f t="shared" si="3"/>
        <v>110.69046990505196</v>
      </c>
      <c r="H16" s="17">
        <f t="shared" si="4"/>
        <v>7.3793646603367975</v>
      </c>
      <c r="J16" s="8">
        <v>15</v>
      </c>
      <c r="K16" s="7">
        <f>(946028/111844)</f>
        <v>8.4584599978541544</v>
      </c>
      <c r="L16" s="8" t="s">
        <v>20</v>
      </c>
      <c r="M16" s="7">
        <f>(829082/119750)</f>
        <v>6.9234405010438413</v>
      </c>
      <c r="N16" s="15">
        <f t="shared" si="9"/>
        <v>7.6909502494489974</v>
      </c>
      <c r="O16">
        <f t="shared" si="5"/>
        <v>1.0854226954481343</v>
      </c>
      <c r="P16" s="11">
        <f t="shared" si="6"/>
        <v>14.112985525109817</v>
      </c>
      <c r="Q16">
        <f t="shared" si="7"/>
        <v>289.4823337310184</v>
      </c>
      <c r="R16" s="17">
        <f t="shared" si="8"/>
        <v>19.29882224873456</v>
      </c>
    </row>
    <row r="17" spans="1:18" x14ac:dyDescent="0.25">
      <c r="A17" s="3">
        <f>(564119/301745)</f>
        <v>1.8695222787452981</v>
      </c>
      <c r="B17" s="4" t="s">
        <v>22</v>
      </c>
      <c r="C17" s="3">
        <f>(627935/328624)</f>
        <v>1.9108007936121525</v>
      </c>
      <c r="D17" s="5">
        <f>AVERAGE(A17,C17)</f>
        <v>1.8901615361787254</v>
      </c>
      <c r="E17">
        <f>STDEV(A17,C17)</f>
        <v>2.9188317779662468E-2</v>
      </c>
      <c r="F17" s="6">
        <f>(E17/D17)*100</f>
        <v>1.5442234550318639</v>
      </c>
      <c r="G17">
        <f t="shared" si="3"/>
        <v>45.34139462031672</v>
      </c>
      <c r="H17" s="17">
        <f t="shared" si="4"/>
        <v>3.022759641354448</v>
      </c>
      <c r="J17" s="8">
        <v>16</v>
      </c>
      <c r="K17" s="7">
        <f>(716896/100675)</f>
        <v>7.1208939657313133</v>
      </c>
      <c r="L17" s="8" t="s">
        <v>21</v>
      </c>
      <c r="M17" s="7">
        <f>(935304/114243)</f>
        <v>8.1869698799926471</v>
      </c>
      <c r="N17" s="15">
        <f t="shared" si="9"/>
        <v>7.6539319228619807</v>
      </c>
      <c r="O17">
        <f t="shared" si="5"/>
        <v>0.75382950823383765</v>
      </c>
      <c r="P17" s="11">
        <f t="shared" si="6"/>
        <v>9.8489183837940839</v>
      </c>
      <c r="Q17">
        <f t="shared" si="7"/>
        <v>287.92432335277698</v>
      </c>
      <c r="R17" s="17">
        <f t="shared" si="8"/>
        <v>19.194954890185134</v>
      </c>
    </row>
    <row r="18" spans="1:18" x14ac:dyDescent="0.25">
      <c r="A18" s="7">
        <f>(758602/320155)</f>
        <v>2.3694835314144713</v>
      </c>
      <c r="B18" s="8" t="s">
        <v>23</v>
      </c>
      <c r="C18" s="7">
        <f>(673515/240364)</f>
        <v>2.8020627048975721</v>
      </c>
      <c r="D18" s="9">
        <f t="shared" si="0"/>
        <v>2.5857731181560215</v>
      </c>
      <c r="E18" s="10">
        <f t="shared" si="1"/>
        <v>0.30587966696997254</v>
      </c>
      <c r="F18" s="11">
        <f t="shared" si="2"/>
        <v>11.829331228723689</v>
      </c>
      <c r="G18">
        <f t="shared" si="3"/>
        <v>74.617976353367908</v>
      </c>
      <c r="H18" s="17">
        <f t="shared" si="4"/>
        <v>4.974531756891194</v>
      </c>
      <c r="J18" s="4">
        <v>17</v>
      </c>
      <c r="K18" s="3">
        <f>(1473712/132141)</f>
        <v>11.152571873983094</v>
      </c>
      <c r="L18" s="4" t="s">
        <v>22</v>
      </c>
      <c r="M18" s="3">
        <f>(1283135/98770)</f>
        <v>12.991141034727145</v>
      </c>
      <c r="N18" s="15">
        <f t="shared" si="9"/>
        <v>12.071856454355119</v>
      </c>
      <c r="O18">
        <f t="shared" si="5"/>
        <v>1.3000647212425778</v>
      </c>
      <c r="P18" s="11">
        <f t="shared" si="6"/>
        <v>10.769385190738896</v>
      </c>
      <c r="Q18">
        <f t="shared" si="7"/>
        <v>473.86390801157916</v>
      </c>
      <c r="R18" s="17">
        <f t="shared" si="8"/>
        <v>31.590927200771944</v>
      </c>
    </row>
    <row r="19" spans="1:18" x14ac:dyDescent="0.25">
      <c r="A19" s="3">
        <f>(901097/155181)</f>
        <v>5.8067482488191207</v>
      </c>
      <c r="B19" s="4" t="s">
        <v>24</v>
      </c>
      <c r="C19" s="3">
        <f>(889651/172394)</f>
        <v>5.1605682332331755</v>
      </c>
      <c r="D19" s="5">
        <f t="shared" si="0"/>
        <v>5.4836582410261485</v>
      </c>
      <c r="E19">
        <f t="shared" si="1"/>
        <v>0.45691827088805081</v>
      </c>
      <c r="F19" s="6">
        <f t="shared" si="2"/>
        <v>8.332362280887665</v>
      </c>
      <c r="G19">
        <f t="shared" si="3"/>
        <v>196.58283842702645</v>
      </c>
      <c r="H19" s="17">
        <f t="shared" si="4"/>
        <v>13.105522561801763</v>
      </c>
      <c r="J19" s="4" t="s">
        <v>23</v>
      </c>
      <c r="K19" s="3">
        <f>(1088206/144771)</f>
        <v>7.5167402311236362</v>
      </c>
      <c r="L19" s="4" t="s">
        <v>29</v>
      </c>
      <c r="M19" s="3">
        <f>(1036365/129914)</f>
        <v>7.9773157627353477</v>
      </c>
      <c r="N19" s="15">
        <f t="shared" si="9"/>
        <v>7.747027996929492</v>
      </c>
      <c r="O19">
        <f t="shared" si="5"/>
        <v>0.32567608165124029</v>
      </c>
      <c r="P19" s="11">
        <f t="shared" si="6"/>
        <v>4.203884144736806</v>
      </c>
      <c r="Q19">
        <f t="shared" si="7"/>
        <v>291.84250828827828</v>
      </c>
      <c r="R19" s="17">
        <f t="shared" si="8"/>
        <v>19.456167219218553</v>
      </c>
    </row>
    <row r="20" spans="1:18" x14ac:dyDescent="0.25">
      <c r="A20" s="3">
        <f>(782969/142117)</f>
        <v>5.5093268222661607</v>
      </c>
      <c r="B20" s="4" t="s">
        <v>25</v>
      </c>
      <c r="C20" s="3">
        <f>(635647/132490)</f>
        <v>4.7976979394671293</v>
      </c>
      <c r="D20" s="5">
        <f t="shared" si="0"/>
        <v>5.153512380866645</v>
      </c>
      <c r="E20">
        <f t="shared" si="1"/>
        <v>0.50319760871540187</v>
      </c>
      <c r="F20" s="6">
        <f t="shared" si="2"/>
        <v>9.7641680377758444</v>
      </c>
      <c r="G20">
        <f t="shared" si="3"/>
        <v>182.68781064253557</v>
      </c>
      <c r="H20" s="17">
        <f t="shared" si="4"/>
        <v>12.179187376169038</v>
      </c>
      <c r="J20" s="8" t="s">
        <v>30</v>
      </c>
      <c r="K20" s="7">
        <f>(1318537/178253)</f>
        <v>7.3969975259883425</v>
      </c>
      <c r="L20" s="8" t="s">
        <v>31</v>
      </c>
      <c r="M20" s="7">
        <f>(1522892/171633)</f>
        <v>8.8729556670337288</v>
      </c>
      <c r="N20" s="15">
        <f t="shared" si="9"/>
        <v>8.1349765965110361</v>
      </c>
      <c r="O20">
        <f t="shared" si="5"/>
        <v>1.0436600102806834</v>
      </c>
      <c r="P20" s="11">
        <f t="shared" si="6"/>
        <v>12.829293334762548</v>
      </c>
      <c r="Q20">
        <f t="shared" si="7"/>
        <v>308.17031130096956</v>
      </c>
      <c r="R20" s="17">
        <f t="shared" si="8"/>
        <v>20.544687420064637</v>
      </c>
    </row>
    <row r="21" spans="1:18" x14ac:dyDescent="0.25">
      <c r="A21" s="3">
        <f>(622620/163048)</f>
        <v>3.8186300966586528</v>
      </c>
      <c r="B21" s="4" t="s">
        <v>26</v>
      </c>
      <c r="C21" s="3">
        <f>(2328690/600178)</f>
        <v>3.8799989336496838</v>
      </c>
      <c r="D21" s="5">
        <f t="shared" si="0"/>
        <v>3.8493145151541683</v>
      </c>
      <c r="E21">
        <f t="shared" si="1"/>
        <v>4.3394320789889876E-2</v>
      </c>
      <c r="F21" s="6">
        <f t="shared" si="2"/>
        <v>1.1273259334630363</v>
      </c>
      <c r="G21">
        <f t="shared" si="3"/>
        <v>127.79732807887913</v>
      </c>
      <c r="H21" s="17">
        <f t="shared" si="4"/>
        <v>8.5198218719252754</v>
      </c>
      <c r="J21" s="4">
        <v>19</v>
      </c>
      <c r="K21" s="3">
        <f>(1528002/145611)</f>
        <v>10.493726435502813</v>
      </c>
      <c r="L21" s="4" t="s">
        <v>24</v>
      </c>
      <c r="M21" s="3">
        <f>(1538403/162312)</f>
        <v>9.4780607718468133</v>
      </c>
      <c r="N21" s="15">
        <f t="shared" si="9"/>
        <v>9.985893603674814</v>
      </c>
      <c r="O21">
        <f t="shared" si="5"/>
        <v>0.71818407818949259</v>
      </c>
      <c r="P21" s="11">
        <f t="shared" si="6"/>
        <v>7.1919860824994215</v>
      </c>
      <c r="Q21">
        <f t="shared" si="7"/>
        <v>386.07085874052251</v>
      </c>
      <c r="R21" s="17">
        <f t="shared" si="8"/>
        <v>25.738057249368168</v>
      </c>
    </row>
    <row r="22" spans="1:18" x14ac:dyDescent="0.25">
      <c r="J22" s="8">
        <v>20</v>
      </c>
      <c r="K22" s="7">
        <f>(611222/97183)</f>
        <v>6.2893921776442383</v>
      </c>
      <c r="L22" s="8" t="s">
        <v>25</v>
      </c>
      <c r="M22" s="3">
        <f>(580760/99722)</f>
        <v>5.8237901365796914</v>
      </c>
      <c r="N22" s="15">
        <f>AVERAGE(K22,M22)</f>
        <v>6.0565911571119653</v>
      </c>
      <c r="O22">
        <f>STDEV(K22,M22)</f>
        <v>0.32923036057103849</v>
      </c>
      <c r="P22" s="11">
        <f>(O22/N22)*100</f>
        <v>5.4359020120491213</v>
      </c>
      <c r="Q22">
        <f t="shared" si="7"/>
        <v>220.69617664612647</v>
      </c>
      <c r="R22" s="17">
        <f t="shared" si="8"/>
        <v>14.713078443075098</v>
      </c>
    </row>
    <row r="23" spans="1:18" x14ac:dyDescent="0.25">
      <c r="J23" s="4">
        <v>21</v>
      </c>
      <c r="K23" s="3">
        <f>(955195/122568)</f>
        <v>7.7931841916323998</v>
      </c>
      <c r="L23" s="4" t="s">
        <v>26</v>
      </c>
      <c r="M23" s="3">
        <f>(1039480/151046)</f>
        <v>6.8818770440792871</v>
      </c>
      <c r="N23" s="15">
        <f t="shared" si="9"/>
        <v>7.3375306178558439</v>
      </c>
      <c r="O23">
        <f t="shared" si="5"/>
        <v>0.6443914637785757</v>
      </c>
      <c r="P23" s="11">
        <f t="shared" si="6"/>
        <v>8.7821298109537338</v>
      </c>
      <c r="Q23">
        <f t="shared" si="7"/>
        <v>274.60777011177794</v>
      </c>
      <c r="R23" s="17">
        <f t="shared" si="8"/>
        <v>18.307184674118528</v>
      </c>
    </row>
    <row r="24" spans="1:18" x14ac:dyDescent="0.25">
      <c r="J24" s="8">
        <v>22</v>
      </c>
      <c r="K24" s="7">
        <f>(990479/109302)</f>
        <v>9.0618561416991454</v>
      </c>
      <c r="L24" s="8" t="s">
        <v>32</v>
      </c>
      <c r="M24" s="3">
        <f>(770576/101848)</f>
        <v>7.5659414028748726</v>
      </c>
      <c r="N24" s="15">
        <f t="shared" si="9"/>
        <v>8.3138987722870095</v>
      </c>
      <c r="O24">
        <f t="shared" si="5"/>
        <v>1.0577714558995466</v>
      </c>
      <c r="P24" s="11">
        <f t="shared" si="6"/>
        <v>12.722929216139253</v>
      </c>
      <c r="Q24">
        <f t="shared" si="7"/>
        <v>315.70070590433539</v>
      </c>
      <c r="R24" s="17">
        <f t="shared" si="8"/>
        <v>21.046713726955691</v>
      </c>
    </row>
    <row r="25" spans="1:18" x14ac:dyDescent="0.25">
      <c r="J25" s="8">
        <v>23</v>
      </c>
      <c r="K25" s="7">
        <f>(620675/123344)</f>
        <v>5.0320647943961605</v>
      </c>
      <c r="L25" s="8" t="s">
        <v>33</v>
      </c>
      <c r="M25" s="3">
        <f>(631331/131886)</f>
        <v>4.7869447856482115</v>
      </c>
      <c r="N25" s="15">
        <f t="shared" si="9"/>
        <v>4.9095047900221864</v>
      </c>
      <c r="O25">
        <f t="shared" si="5"/>
        <v>0.17332602039018061</v>
      </c>
      <c r="P25" s="11">
        <f t="shared" si="6"/>
        <v>3.5304175839167948</v>
      </c>
      <c r="Q25">
        <f t="shared" si="7"/>
        <v>172.41813089318967</v>
      </c>
      <c r="R25" s="17">
        <f t="shared" si="8"/>
        <v>11.494542059545978</v>
      </c>
    </row>
    <row r="26" spans="1:18" x14ac:dyDescent="0.25">
      <c r="J26" s="8">
        <v>24</v>
      </c>
      <c r="K26" s="7">
        <f>(780650/131121)</f>
        <v>5.9536611221695992</v>
      </c>
      <c r="L26" s="8" t="s">
        <v>34</v>
      </c>
      <c r="M26" s="3">
        <f>(719225/146612)</f>
        <v>4.9056352822415628</v>
      </c>
      <c r="N26" s="15">
        <f t="shared" si="9"/>
        <v>5.4296482022055805</v>
      </c>
      <c r="O26">
        <f t="shared" si="5"/>
        <v>0.74106617827184174</v>
      </c>
      <c r="P26" s="11">
        <f t="shared" si="6"/>
        <v>13.648511849640881</v>
      </c>
      <c r="Q26">
        <f t="shared" si="7"/>
        <v>194.30968864501602</v>
      </c>
      <c r="R26" s="17">
        <f t="shared" si="8"/>
        <v>12.953979243001067</v>
      </c>
    </row>
    <row r="27" spans="1:18" x14ac:dyDescent="0.25">
      <c r="J27" s="4">
        <v>25</v>
      </c>
      <c r="K27" s="3">
        <f>(820398/218258)</f>
        <v>3.7588450366080508</v>
      </c>
      <c r="L27" s="4" t="s">
        <v>35</v>
      </c>
      <c r="M27" s="3">
        <f>(548534/147152)</f>
        <v>3.7276693487006631</v>
      </c>
      <c r="N27" s="15">
        <f t="shared" si="9"/>
        <v>3.7432571926543572</v>
      </c>
      <c r="O27">
        <f t="shared" si="5"/>
        <v>2.2044540327469272E-2</v>
      </c>
      <c r="P27" s="11">
        <f t="shared" si="6"/>
        <v>0.58891332315419687</v>
      </c>
      <c r="Q27">
        <f t="shared" si="7"/>
        <v>123.33363605447632</v>
      </c>
      <c r="R27" s="17">
        <f t="shared" si="8"/>
        <v>8.2222424036317552</v>
      </c>
    </row>
    <row r="28" spans="1:18" x14ac:dyDescent="0.25">
      <c r="J28" s="8">
        <v>26</v>
      </c>
      <c r="K28" s="7">
        <f>(706063/118434)</f>
        <v>5.9616579698397416</v>
      </c>
      <c r="L28" s="8" t="s">
        <v>36</v>
      </c>
      <c r="M28" s="3">
        <f>(655517/119087)</f>
        <v>5.5045219041541058</v>
      </c>
      <c r="N28" s="15">
        <f t="shared" si="9"/>
        <v>5.7330899369969242</v>
      </c>
      <c r="O28">
        <f t="shared" si="5"/>
        <v>0.32324401197125208</v>
      </c>
      <c r="P28" s="11">
        <f t="shared" si="6"/>
        <v>5.6382163113347561</v>
      </c>
      <c r="Q28">
        <f t="shared" si="7"/>
        <v>207.08080542916346</v>
      </c>
      <c r="R28" s="17">
        <f t="shared" si="8"/>
        <v>13.805387028610896</v>
      </c>
    </row>
    <row r="29" spans="1:18" x14ac:dyDescent="0.25">
      <c r="J29" s="8">
        <v>27</v>
      </c>
      <c r="K29" s="7">
        <f>(584480/145507)</f>
        <v>4.0168514229555967</v>
      </c>
      <c r="L29" s="8" t="s">
        <v>37</v>
      </c>
      <c r="M29" s="3">
        <f>(596193/130600)</f>
        <v>4.565030627871363</v>
      </c>
      <c r="N29" s="15">
        <f t="shared" si="9"/>
        <v>4.2909410254134794</v>
      </c>
      <c r="O29">
        <f t="shared" si="5"/>
        <v>0.38762123310138835</v>
      </c>
      <c r="P29" s="11">
        <f t="shared" si="6"/>
        <v>9.0334784562562653</v>
      </c>
      <c r="Q29">
        <f t="shared" si="7"/>
        <v>146.38430241639222</v>
      </c>
      <c r="R29" s="17">
        <f t="shared" si="8"/>
        <v>9.758953494426148</v>
      </c>
    </row>
    <row r="30" spans="1:18" x14ac:dyDescent="0.25">
      <c r="J30" s="4">
        <v>28</v>
      </c>
      <c r="K30" s="3">
        <f>(398794/215239)</f>
        <v>1.8527961939982995</v>
      </c>
      <c r="L30" s="4" t="s">
        <v>38</v>
      </c>
      <c r="M30" s="3">
        <f>(387897/172964)</f>
        <v>2.2426458685044288</v>
      </c>
      <c r="N30" s="16">
        <f t="shared" si="9"/>
        <v>2.0477210312513643</v>
      </c>
      <c r="O30">
        <f t="shared" si="5"/>
        <v>0.27566534848665236</v>
      </c>
      <c r="P30" s="6">
        <f t="shared" si="6"/>
        <v>13.462055830827357</v>
      </c>
      <c r="Q30">
        <f t="shared" si="7"/>
        <v>51.972686500478289</v>
      </c>
      <c r="R30" s="17">
        <f t="shared" si="8"/>
        <v>3.4648457666985526</v>
      </c>
    </row>
    <row r="31" spans="1:18" x14ac:dyDescent="0.25">
      <c r="J31" s="4">
        <v>29</v>
      </c>
      <c r="K31" s="3">
        <f>(1049335/155888)</f>
        <v>6.7313391665811348</v>
      </c>
      <c r="L31" s="4" t="s">
        <v>39</v>
      </c>
      <c r="M31" s="3">
        <f>(987330/166123)</f>
        <v>5.943367264015218</v>
      </c>
      <c r="N31" s="15">
        <f t="shared" si="9"/>
        <v>6.337353215298176</v>
      </c>
      <c r="O31">
        <f t="shared" si="5"/>
        <v>0.55718027568882533</v>
      </c>
      <c r="P31" s="11">
        <f t="shared" si="6"/>
        <v>8.792002856078927</v>
      </c>
      <c r="Q31">
        <f t="shared" si="7"/>
        <v>232.51276158662355</v>
      </c>
      <c r="R31" s="17">
        <f t="shared" si="8"/>
        <v>15.500850772441572</v>
      </c>
    </row>
    <row r="32" spans="1:18" x14ac:dyDescent="0.25">
      <c r="J32" s="8">
        <v>30</v>
      </c>
      <c r="K32" s="7">
        <f>(715449/107205)</f>
        <v>6.6736532810969633</v>
      </c>
      <c r="L32" s="8" t="s">
        <v>40</v>
      </c>
      <c r="M32" s="3">
        <f>(714289/121744)</f>
        <v>5.8671392430017084</v>
      </c>
      <c r="N32" s="15">
        <f t="shared" si="9"/>
        <v>6.2703962620493359</v>
      </c>
      <c r="O32">
        <f t="shared" si="5"/>
        <v>0.57029154545930028</v>
      </c>
      <c r="P32" s="11">
        <f t="shared" si="6"/>
        <v>9.0949841385768107</v>
      </c>
      <c r="Q32">
        <f t="shared" si="7"/>
        <v>229.69470799870942</v>
      </c>
      <c r="R32" s="17">
        <f t="shared" si="8"/>
        <v>15.312980533247293</v>
      </c>
    </row>
    <row r="33" spans="10:18" x14ac:dyDescent="0.25">
      <c r="J33" s="4">
        <v>31</v>
      </c>
      <c r="K33" s="3">
        <f>(1410226/288193)</f>
        <v>4.8933388389030963</v>
      </c>
      <c r="L33" s="4" t="s">
        <v>41</v>
      </c>
      <c r="M33" s="3">
        <f>(1134392/189977)</f>
        <v>5.9712070408523141</v>
      </c>
      <c r="N33" s="15">
        <f t="shared" si="9"/>
        <v>5.4322729398777057</v>
      </c>
      <c r="O33">
        <f t="shared" si="5"/>
        <v>0.7621679148236431</v>
      </c>
      <c r="P33" s="11">
        <f t="shared" si="6"/>
        <v>14.030368563196705</v>
      </c>
      <c r="Q33">
        <f t="shared" si="7"/>
        <v>194.42015740226034</v>
      </c>
      <c r="R33" s="17">
        <f t="shared" si="8"/>
        <v>12.961343826817355</v>
      </c>
    </row>
    <row r="34" spans="10:18" x14ac:dyDescent="0.25">
      <c r="J34" s="8">
        <v>32</v>
      </c>
      <c r="K34" s="7">
        <f>(1538094/141207)</f>
        <v>10.89247700184835</v>
      </c>
      <c r="L34" s="8" t="s">
        <v>42</v>
      </c>
      <c r="M34" s="3">
        <f>(1419387/151235)</f>
        <v>9.3853076338149233</v>
      </c>
      <c r="N34" s="15">
        <f t="shared" si="9"/>
        <v>10.138892317831637</v>
      </c>
      <c r="O34">
        <f t="shared" si="5"/>
        <v>1.0657296805330796</v>
      </c>
      <c r="P34" s="11">
        <f t="shared" si="6"/>
        <v>10.511302883242406</v>
      </c>
      <c r="Q34">
        <f t="shared" si="7"/>
        <v>392.51019856193761</v>
      </c>
      <c r="R34" s="17">
        <f t="shared" si="8"/>
        <v>26.167346570795843</v>
      </c>
    </row>
    <row r="35" spans="10:18" x14ac:dyDescent="0.25">
      <c r="J35" s="4">
        <v>33</v>
      </c>
      <c r="K35" s="3">
        <f>(1097728/129329)</f>
        <v>8.487872016330444</v>
      </c>
      <c r="L35" s="4" t="s">
        <v>43</v>
      </c>
      <c r="M35" s="3">
        <f>(939578/125030)</f>
        <v>7.5148204430936572</v>
      </c>
      <c r="N35" s="15">
        <f t="shared" si="9"/>
        <v>8.0013462297120501</v>
      </c>
      <c r="O35">
        <f t="shared" si="5"/>
        <v>0.6880513658799704</v>
      </c>
      <c r="P35" s="11">
        <f t="shared" si="6"/>
        <v>8.5991950120215179</v>
      </c>
      <c r="Q35">
        <f t="shared" si="7"/>
        <v>302.5461376141435</v>
      </c>
      <c r="R35" s="17">
        <f t="shared" si="8"/>
        <v>20.169742507609566</v>
      </c>
    </row>
    <row r="36" spans="10:18" x14ac:dyDescent="0.25">
      <c r="J36" s="4">
        <v>34</v>
      </c>
      <c r="K36" s="3">
        <f>(1131846/122358)</f>
        <v>9.250281959495906</v>
      </c>
      <c r="L36" s="4" t="s">
        <v>44</v>
      </c>
      <c r="M36" s="3">
        <f>(1105866/134609)</f>
        <v>8.215394215839952</v>
      </c>
      <c r="N36" s="15">
        <f t="shared" si="9"/>
        <v>8.732838087667929</v>
      </c>
      <c r="O36">
        <f t="shared" si="5"/>
        <v>0.73177614130597057</v>
      </c>
      <c r="P36" s="11">
        <f t="shared" si="6"/>
        <v>8.3795913076568738</v>
      </c>
      <c r="Q36">
        <f t="shared" si="7"/>
        <v>333.33283197255594</v>
      </c>
      <c r="R36" s="17">
        <f t="shared" si="8"/>
        <v>22.222188798170396</v>
      </c>
    </row>
    <row r="37" spans="10:18" x14ac:dyDescent="0.25">
      <c r="J37" s="4">
        <v>35</v>
      </c>
      <c r="K37" s="3">
        <f>(1530153/193462)</f>
        <v>7.9093206934695184</v>
      </c>
      <c r="L37" s="4" t="s">
        <v>45</v>
      </c>
      <c r="M37" s="3">
        <f>(1230013/147551)</f>
        <v>8.3361888431796469</v>
      </c>
      <c r="N37" s="15">
        <f t="shared" si="9"/>
        <v>8.1227547683245831</v>
      </c>
      <c r="O37">
        <f t="shared" si="5"/>
        <v>0.30184136333258627</v>
      </c>
      <c r="P37" s="11">
        <f t="shared" si="6"/>
        <v>3.7159974902805626</v>
      </c>
      <c r="Q37">
        <f t="shared" si="7"/>
        <v>307.65592459278548</v>
      </c>
      <c r="R37" s="17">
        <f t="shared" si="8"/>
        <v>20.510394972852364</v>
      </c>
    </row>
    <row r="38" spans="10:18" x14ac:dyDescent="0.25">
      <c r="J38" s="4">
        <v>36</v>
      </c>
      <c r="K38" s="3">
        <f>(3192209/257660)</f>
        <v>12.38922999301405</v>
      </c>
      <c r="L38" s="4" t="s">
        <v>46</v>
      </c>
      <c r="M38" s="3">
        <f>(1074242/105152)</f>
        <v>10.216087188070603</v>
      </c>
      <c r="N38" s="15">
        <f t="shared" si="9"/>
        <v>11.302658590542325</v>
      </c>
      <c r="O38">
        <f t="shared" si="5"/>
        <v>1.5366440138622663</v>
      </c>
      <c r="P38" s="11">
        <f t="shared" si="6"/>
        <v>13.595420949439957</v>
      </c>
      <c r="Q38">
        <f t="shared" si="7"/>
        <v>441.49026054471068</v>
      </c>
      <c r="R38" s="17">
        <f t="shared" si="8"/>
        <v>29.432684036314043</v>
      </c>
    </row>
    <row r="39" spans="10:18" x14ac:dyDescent="0.25">
      <c r="J39" s="4">
        <v>37</v>
      </c>
      <c r="K39" s="3">
        <f>(721289/114257)</f>
        <v>6.3128648572953958</v>
      </c>
      <c r="L39" s="4">
        <v>37.1</v>
      </c>
      <c r="M39" s="3">
        <f>(831821/146569)</f>
        <v>5.6752860427511953</v>
      </c>
      <c r="N39" s="15">
        <f t="shared" si="9"/>
        <v>5.9940754500232956</v>
      </c>
      <c r="O39">
        <f t="shared" si="5"/>
        <v>0.45083630330508434</v>
      </c>
      <c r="P39" s="11">
        <f t="shared" si="6"/>
        <v>7.5213651723942219</v>
      </c>
      <c r="Q39">
        <f t="shared" si="7"/>
        <v>218.06504419289965</v>
      </c>
      <c r="R39" s="17">
        <f t="shared" si="8"/>
        <v>14.537669612859977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67BC-63D2-4B40-99BB-C7A5DE38C695}">
  <dimension ref="A1:M9"/>
  <sheetViews>
    <sheetView tabSelected="1" workbookViewId="0">
      <selection activeCell="D14" sqref="D14"/>
    </sheetView>
  </sheetViews>
  <sheetFormatPr defaultRowHeight="15" x14ac:dyDescent="0.25"/>
  <cols>
    <col min="1" max="1" width="19.7109375" customWidth="1"/>
  </cols>
  <sheetData>
    <row r="1" spans="1:13" x14ac:dyDescent="0.25">
      <c r="A1" s="18" t="s">
        <v>49</v>
      </c>
      <c r="B1" s="19" t="s">
        <v>56</v>
      </c>
      <c r="C1" s="20" t="s">
        <v>3</v>
      </c>
      <c r="D1" s="30" t="s">
        <v>4</v>
      </c>
      <c r="E1" s="32" t="s">
        <v>50</v>
      </c>
      <c r="F1" s="33"/>
      <c r="G1" s="21" t="s">
        <v>51</v>
      </c>
      <c r="H1" s="21" t="s">
        <v>52</v>
      </c>
      <c r="K1" s="36" t="s">
        <v>53</v>
      </c>
      <c r="L1" s="36" t="s">
        <v>54</v>
      </c>
      <c r="M1" s="36" t="s">
        <v>55</v>
      </c>
    </row>
    <row r="2" spans="1:13" x14ac:dyDescent="0.25">
      <c r="A2" s="22"/>
      <c r="B2" s="23"/>
      <c r="C2" s="23"/>
      <c r="D2" s="23"/>
      <c r="E2" s="25">
        <v>0.99207999999999996</v>
      </c>
      <c r="F2" s="27"/>
      <c r="G2" s="34">
        <v>1.3</v>
      </c>
      <c r="H2" s="35">
        <v>4.3</v>
      </c>
      <c r="K2">
        <v>0.54200727900000001</v>
      </c>
      <c r="L2">
        <v>0.93777132399999996</v>
      </c>
      <c r="M2">
        <v>0.99560322899999998</v>
      </c>
    </row>
    <row r="3" spans="1:13" x14ac:dyDescent="0.25">
      <c r="A3" s="22">
        <v>5</v>
      </c>
      <c r="B3" s="23">
        <v>0.92627306799999998</v>
      </c>
      <c r="C3" s="23">
        <v>8.7337049999999996E-3</v>
      </c>
      <c r="D3" s="23">
        <v>1</v>
      </c>
      <c r="E3" s="31" t="s">
        <v>47</v>
      </c>
      <c r="F3" s="23"/>
      <c r="G3" s="23"/>
      <c r="H3" s="24"/>
      <c r="K3">
        <v>0.93635186599999998</v>
      </c>
      <c r="L3">
        <v>0.92153530800000005</v>
      </c>
      <c r="M3">
        <v>0.92093203000000001</v>
      </c>
    </row>
    <row r="4" spans="1:13" x14ac:dyDescent="0.25">
      <c r="A4" s="22">
        <v>15</v>
      </c>
      <c r="B4" s="23">
        <v>1.2314235529999999</v>
      </c>
      <c r="C4" s="23">
        <v>3.109054E-2</v>
      </c>
      <c r="D4" s="23">
        <v>3</v>
      </c>
      <c r="E4" s="29">
        <v>2.376E-2</v>
      </c>
      <c r="F4" s="23"/>
      <c r="G4" s="23"/>
      <c r="H4" s="24"/>
      <c r="K4">
        <v>1.238530484</v>
      </c>
      <c r="L4">
        <v>1.2583453280000001</v>
      </c>
      <c r="M4">
        <v>1.197394845</v>
      </c>
    </row>
    <row r="5" spans="1:13" x14ac:dyDescent="0.25">
      <c r="A5" s="22">
        <v>50</v>
      </c>
      <c r="B5" s="23">
        <v>2.0732130120000001</v>
      </c>
      <c r="C5" s="23">
        <v>6.3205643000000006E-2</v>
      </c>
      <c r="D5" s="23">
        <v>3</v>
      </c>
      <c r="E5" s="28" t="s">
        <v>48</v>
      </c>
      <c r="F5" s="23"/>
      <c r="G5" s="23"/>
      <c r="H5" s="24"/>
      <c r="K5">
        <v>2.1248196629999998</v>
      </c>
      <c r="L5">
        <v>2.0027160789999998</v>
      </c>
      <c r="M5">
        <v>2.0921032940000002</v>
      </c>
    </row>
    <row r="6" spans="1:13" x14ac:dyDescent="0.25">
      <c r="A6" s="22">
        <v>100</v>
      </c>
      <c r="B6" s="23">
        <v>2.9031826509999998</v>
      </c>
      <c r="C6" s="23">
        <v>0.15865306200000001</v>
      </c>
      <c r="D6" s="23">
        <v>5</v>
      </c>
      <c r="E6" s="29">
        <v>0.81284999999999996</v>
      </c>
      <c r="F6" s="23"/>
      <c r="G6" s="23"/>
      <c r="H6" s="24"/>
      <c r="K6">
        <v>2.8263307580000001</v>
      </c>
      <c r="L6">
        <v>2.797590773</v>
      </c>
      <c r="M6">
        <v>3.085626424</v>
      </c>
    </row>
    <row r="7" spans="1:13" x14ac:dyDescent="0.25">
      <c r="A7" s="22">
        <v>250</v>
      </c>
      <c r="B7" s="23">
        <v>6.8817980179999996</v>
      </c>
      <c r="C7" s="23">
        <v>0.398974987</v>
      </c>
      <c r="D7" s="23">
        <v>6</v>
      </c>
      <c r="E7" s="23"/>
      <c r="F7" s="23"/>
      <c r="G7" s="23"/>
      <c r="H7" s="24"/>
      <c r="K7">
        <v>7.3185320880000004</v>
      </c>
      <c r="L7">
        <v>6.5364327380000002</v>
      </c>
      <c r="M7">
        <v>6.7904292279999998</v>
      </c>
    </row>
    <row r="8" spans="1:13" x14ac:dyDescent="0.25">
      <c r="A8" s="22">
        <v>500</v>
      </c>
      <c r="B8" s="23">
        <v>12.36903094</v>
      </c>
      <c r="C8" s="23">
        <v>0.57544812599999995</v>
      </c>
      <c r="D8" s="23">
        <v>5</v>
      </c>
      <c r="E8" s="23"/>
      <c r="F8" s="23"/>
      <c r="G8" s="23"/>
      <c r="H8" s="24"/>
      <c r="K8">
        <v>11.742574469999999</v>
      </c>
      <c r="L8">
        <v>12.874104859999999</v>
      </c>
      <c r="M8">
        <v>12.49041349</v>
      </c>
    </row>
    <row r="9" spans="1:13" x14ac:dyDescent="0.25">
      <c r="A9" s="25">
        <v>750</v>
      </c>
      <c r="B9" s="26">
        <v>18.494917569999998</v>
      </c>
      <c r="C9" s="26">
        <v>1.087515241</v>
      </c>
      <c r="D9" s="26">
        <v>6</v>
      </c>
      <c r="E9" s="26"/>
      <c r="F9" s="26"/>
      <c r="G9" s="26"/>
      <c r="H9" s="27"/>
      <c r="K9">
        <v>18.989722799999999</v>
      </c>
      <c r="L9">
        <v>17.247982449999999</v>
      </c>
      <c r="M9">
        <v>19.247047469999998</v>
      </c>
    </row>
  </sheetData>
  <mergeCells count="1">
    <mergeCell ref="E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amostras</vt:lpstr>
      <vt:lpstr>curva analítica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Sacre</dc:creator>
  <cp:lastModifiedBy>Maria Eduarda Sacre</cp:lastModifiedBy>
  <dcterms:created xsi:type="dcterms:W3CDTF">2025-11-04T00:27:33Z</dcterms:created>
  <dcterms:modified xsi:type="dcterms:W3CDTF">2025-11-04T01:44:05Z</dcterms:modified>
</cp:coreProperties>
</file>